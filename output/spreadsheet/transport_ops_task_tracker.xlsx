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5" windowWidth="16095" windowHeight="9660"/>
  </bookViews>
  <sheets>
    <sheet name="Task_Plan" sheetId="1" r:id="rId1"/>
    <sheet name="Dashboard" sheetId="2" r:id="rId2"/>
  </sheets>
  <calcPr calcId="191029"/>
</workbook>
</file>

<file path=xl/styles.xml><?xml version="1.0" encoding="utf-8"?>
<styleSheet xmlns="http://schemas.openxmlformats.org/spreadsheetml/2006/main">
  <numFmts count="4">
    <numFmt numFmtId="164" formatCode="0.0"/>
    <numFmt numFmtId="165" formatCode="0%"/>
    <numFmt numFmtId="166" formatCode="yyyy-mm-dd"/>
    <numFmt numFmtId="167" formatCode="[Red](0.0);0.0;&quot;-&quot;"/>
  </numFmts>
  <fonts count="3">
    <font>
      <sz val="11"/>
      <color rgb="FF111827"/>
      <name val="Calibri"/>
      <family val="2"/>
    </font>
    <font>
      <b/>
      <sz val="11"/>
      <color rgb="FFFFFFFF"/>
      <name val="Calibri"/>
      <family val="2"/>
    </font>
    <font>
      <b/>
      <sz val="11"/>
      <color rgb="FF1F2937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DCEEFF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right" vertical="center"/>
    </xf>
    <xf numFmtId="166" fontId="0" fillId="4" borderId="1" xfId="0" applyNumberFormat="1" applyFill="1" applyBorder="1" applyAlignment="1">
      <alignment horizontal="center" vertical="center"/>
    </xf>
    <xf numFmtId="167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0" fontId="0" fillId="5" borderId="1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167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P104"/>
  <sheetViews>
    <sheetView workbookViewId="0">
      <pane ySplit="4" topLeftCell="A5" activePane="bottomLeft" state="frozen"/>
    </sheetView>
  </sheetViews>
  <sheetFormatPr defaultRowHeight="15"/>
  <cols>
    <col min="1" max="1" width="10" customWidth="1"/>
    <col min="2" max="2" width="16" customWidth="1"/>
    <col min="3" max="3" width="36" customWidth="1"/>
    <col min="4" max="4" width="16" customWidth="1"/>
    <col min="5" max="5" width="11" customWidth="1"/>
    <col min="6" max="6" width="15" customWidth="1"/>
    <col min="7" max="8" width="12" customWidth="1"/>
    <col min="9" max="11" width="12" customWidth="1"/>
    <col min="12" max="12" width="12" customWidth="1"/>
    <col min="13" max="13" width="10" customWidth="1"/>
    <col min="14" max="14" width="12" customWidth="1"/>
    <col min="15" max="15" width="28" customWidth="1"/>
    <col min="16" max="16" width="30" customWidth="1"/>
  </cols>
  <sheetData>
    <row r="1" ht="24" customHeight="1">
      <c r="A1" t="inlineStr" s="1">
        <is>
          <t>Transport Ops Enterprise - Task Tracker</t>
        </is>
      </c>
    </row>
    <row r="2" ht="20" customHeight="1">
      <c r="A2" t="inlineStr" s="9">
        <is>
          <t>Blue cells are inputs. Formula columns (K:N) auto-calculate progress, schedule risk, and variance.</t>
        </is>
      </c>
    </row>
    <row r="4" ht="22" customHeight="1">
      <c r="A4" t="inlineStr" s="2">
        <is>
          <t>Task ID</t>
        </is>
      </c>
      <c r="B4" t="inlineStr" s="2">
        <is>
          <t>Workstream</t>
        </is>
      </c>
      <c r="C4" t="inlineStr" s="2">
        <is>
          <t>Task</t>
        </is>
      </c>
      <c r="D4" t="inlineStr" s="2">
        <is>
          <t>Owner</t>
        </is>
      </c>
      <c r="E4" t="inlineStr" s="2">
        <is>
          <t>Priority</t>
        </is>
      </c>
      <c r="F4" t="inlineStr" s="2">
        <is>
          <t>Status</t>
        </is>
      </c>
      <c r="G4" t="inlineStr" s="2">
        <is>
          <t>Start Date</t>
        </is>
      </c>
      <c r="H4" t="inlineStr" s="2">
        <is>
          <t>Due Date</t>
        </is>
      </c>
      <c r="I4" t="inlineStr" s="2">
        <is>
          <t>Est Hrs</t>
        </is>
      </c>
      <c r="J4" t="inlineStr" s="2">
        <is>
          <t>Actual Hrs</t>
        </is>
      </c>
      <c r="K4" t="inlineStr" s="2">
        <is>
          <t>Variance Hrs</t>
        </is>
      </c>
      <c r="L4" t="inlineStr" s="2">
        <is>
          <t>% Complete</t>
        </is>
      </c>
      <c r="M4" t="inlineStr" s="2">
        <is>
          <t>Days Left</t>
        </is>
      </c>
      <c r="N4" t="inlineStr" s="2">
        <is>
          <t>Risk Flag</t>
        </is>
      </c>
      <c r="O4" t="inlineStr" s="2">
        <is>
          <t>Notes</t>
        </is>
      </c>
      <c r="P4" t="inlineStr" s="2">
        <is>
          <t>Source URL</t>
        </is>
      </c>
    </row>
    <row r="5">
      <c r="A5" s="3"/>
      <c r="B5" s="3"/>
      <c r="C5" s="3"/>
      <c r="D5" s="3"/>
      <c r="E5" s="3"/>
      <c r="F5" s="3"/>
      <c r="G5" s="5"/>
      <c r="H5" s="5"/>
      <c r="I5" s="4"/>
      <c r="J5" s="4"/>
      <c r="K5" s="6">
        <f>IF(OR(I5="",J5=""),"",J5-I5)</f>
      </c>
      <c r="L5" s="7">
        <f>IF(I5="","",IF(J5="","",MIN(1,J5/I5)))</f>
      </c>
      <c r="M5" s="8">
        <f>IF(H5="","",H5-TODAY())</f>
      </c>
      <c r="N5" s="3" t="str">
        <f>IF(OR(M5&lt;0,AND(M5&lt;=2,L5&lt;0.8)),"AT RISK","ON TRACK")</f>
      </c>
      <c r="O5" s="3"/>
      <c r="P5" s="3"/>
    </row>
    <row r="6">
      <c r="A6" s="3"/>
      <c r="B6" s="3"/>
      <c r="C6" s="3"/>
      <c r="D6" s="3"/>
      <c r="E6" s="3"/>
      <c r="F6" s="3"/>
      <c r="G6" s="5"/>
      <c r="H6" s="5"/>
      <c r="I6" s="4"/>
      <c r="J6" s="4"/>
      <c r="K6" s="6">
        <f>IF(OR(I6="",J6=""),"",J6-I6)</f>
      </c>
      <c r="L6" s="7">
        <f>IF(I6="","",IF(J6="","",MIN(1,J6/I6)))</f>
      </c>
      <c r="M6" s="8">
        <f>IF(H6="","",H6-TODAY())</f>
      </c>
      <c r="N6" s="3" t="str">
        <f>IF(OR(M6&lt;0,AND(M6&lt;=2,L6&lt;0.8)),"AT RISK","ON TRACK")</f>
      </c>
      <c r="O6" s="3"/>
      <c r="P6" s="3"/>
    </row>
    <row r="7">
      <c r="A7" s="3"/>
      <c r="B7" s="3"/>
      <c r="C7" s="3"/>
      <c r="D7" s="3"/>
      <c r="E7" s="3"/>
      <c r="F7" s="3"/>
      <c r="G7" s="5"/>
      <c r="H7" s="5"/>
      <c r="I7" s="4"/>
      <c r="J7" s="4"/>
      <c r="K7" s="6">
        <f>IF(OR(I7="",J7=""),"",J7-I7)</f>
      </c>
      <c r="L7" s="7">
        <f>IF(I7="","",IF(J7="","",MIN(1,J7/I7)))</f>
      </c>
      <c r="M7" s="8">
        <f>IF(H7="","",H7-TODAY())</f>
      </c>
      <c r="N7" s="3" t="str">
        <f>IF(OR(M7&lt;0,AND(M7&lt;=2,L7&lt;0.8)),"AT RISK","ON TRACK")</f>
      </c>
      <c r="O7" s="3"/>
      <c r="P7" s="3"/>
    </row>
    <row r="8">
      <c r="A8" s="3"/>
      <c r="B8" s="3"/>
      <c r="C8" s="3"/>
      <c r="D8" s="3"/>
      <c r="E8" s="3"/>
      <c r="F8" s="3"/>
      <c r="G8" s="5"/>
      <c r="H8" s="5"/>
      <c r="I8" s="4"/>
      <c r="J8" s="4"/>
      <c r="K8" s="6">
        <f>IF(OR(I8="",J8=""),"",J8-I8)</f>
      </c>
      <c r="L8" s="7">
        <f>IF(I8="","",IF(J8="","",MIN(1,J8/I8)))</f>
      </c>
      <c r="M8" s="8">
        <f>IF(H8="","",H8-TODAY())</f>
      </c>
      <c r="N8" s="3" t="str">
        <f>IF(OR(M8&lt;0,AND(M8&lt;=2,L8&lt;0.8)),"AT RISK","ON TRACK")</f>
      </c>
      <c r="O8" s="3"/>
      <c r="P8" s="3"/>
    </row>
    <row r="9">
      <c r="A9" s="3"/>
      <c r="B9" s="3"/>
      <c r="C9" s="3"/>
      <c r="D9" s="3"/>
      <c r="E9" s="3"/>
      <c r="F9" s="3"/>
      <c r="G9" s="5"/>
      <c r="H9" s="5"/>
      <c r="I9" s="4"/>
      <c r="J9" s="4"/>
      <c r="K9" s="6">
        <f>IF(OR(I9="",J9=""),"",J9-I9)</f>
      </c>
      <c r="L9" s="7">
        <f>IF(I9="","",IF(J9="","",MIN(1,J9/I9)))</f>
      </c>
      <c r="M9" s="8">
        <f>IF(H9="","",H9-TODAY())</f>
      </c>
      <c r="N9" s="3" t="str">
        <f>IF(OR(M9&lt;0,AND(M9&lt;=2,L9&lt;0.8)),"AT RISK","ON TRACK")</f>
      </c>
      <c r="O9" s="3"/>
      <c r="P9" s="3"/>
    </row>
    <row r="10">
      <c r="A10" s="3"/>
      <c r="B10" s="3"/>
      <c r="C10" s="3"/>
      <c r="D10" s="3"/>
      <c r="E10" s="3"/>
      <c r="F10" s="3"/>
      <c r="G10" s="5"/>
      <c r="H10" s="5"/>
      <c r="I10" s="4"/>
      <c r="J10" s="4"/>
      <c r="K10" s="6">
        <f>IF(OR(I10="",J10=""),"",J10-I10)</f>
      </c>
      <c r="L10" s="7">
        <f>IF(I10="","",IF(J10="","",MIN(1,J10/I10)))</f>
      </c>
      <c r="M10" s="8">
        <f>IF(H10="","",H10-TODAY())</f>
      </c>
      <c r="N10" s="3" t="str">
        <f>IF(OR(M10&lt;0,AND(M10&lt;=2,L10&lt;0.8)),"AT RISK","ON TRACK")</f>
      </c>
      <c r="O10" s="3"/>
      <c r="P10" s="3"/>
    </row>
    <row r="11">
      <c r="A11" s="3"/>
      <c r="B11" s="3"/>
      <c r="C11" s="3"/>
      <c r="D11" s="3"/>
      <c r="E11" s="3"/>
      <c r="F11" s="3"/>
      <c r="G11" s="5"/>
      <c r="H11" s="5"/>
      <c r="I11" s="4"/>
      <c r="J11" s="4"/>
      <c r="K11" s="6">
        <f>IF(OR(I11="",J11=""),"",J11-I11)</f>
      </c>
      <c r="L11" s="7">
        <f>IF(I11="","",IF(J11="","",MIN(1,J11/I11)))</f>
      </c>
      <c r="M11" s="8">
        <f>IF(H11="","",H11-TODAY())</f>
      </c>
      <c r="N11" s="3" t="str">
        <f>IF(OR(M11&lt;0,AND(M11&lt;=2,L11&lt;0.8)),"AT RISK","ON TRACK")</f>
      </c>
      <c r="O11" s="3"/>
      <c r="P11" s="3"/>
    </row>
    <row r="12">
      <c r="A12" s="3"/>
      <c r="B12" s="3"/>
      <c r="C12" s="3"/>
      <c r="D12" s="3"/>
      <c r="E12" s="3"/>
      <c r="F12" s="3"/>
      <c r="G12" s="5"/>
      <c r="H12" s="5"/>
      <c r="I12" s="4"/>
      <c r="J12" s="4"/>
      <c r="K12" s="6">
        <f>IF(OR(I12="",J12=""),"",J12-I12)</f>
      </c>
      <c r="L12" s="7">
        <f>IF(I12="","",IF(J12="","",MIN(1,J12/I12)))</f>
      </c>
      <c r="M12" s="8">
        <f>IF(H12="","",H12-TODAY())</f>
      </c>
      <c r="N12" s="3" t="str">
        <f>IF(OR(M12&lt;0,AND(M12&lt;=2,L12&lt;0.8)),"AT RISK","ON TRACK")</f>
      </c>
      <c r="O12" s="3"/>
      <c r="P12" s="3"/>
    </row>
    <row r="13">
      <c r="A13" s="3"/>
      <c r="B13" s="3"/>
      <c r="C13" s="3"/>
      <c r="D13" s="3"/>
      <c r="E13" s="3"/>
      <c r="F13" s="3"/>
      <c r="G13" s="5"/>
      <c r="H13" s="5"/>
      <c r="I13" s="4"/>
      <c r="J13" s="4"/>
      <c r="K13" s="6">
        <f>IF(OR(I13="",J13=""),"",J13-I13)</f>
      </c>
      <c r="L13" s="7">
        <f>IF(I13="","",IF(J13="","",MIN(1,J13/I13)))</f>
      </c>
      <c r="M13" s="8">
        <f>IF(H13="","",H13-TODAY())</f>
      </c>
      <c r="N13" s="3" t="str">
        <f>IF(OR(M13&lt;0,AND(M13&lt;=2,L13&lt;0.8)),"AT RISK","ON TRACK")</f>
      </c>
      <c r="O13" s="3"/>
      <c r="P13" s="3"/>
    </row>
    <row r="14">
      <c r="A14" s="3"/>
      <c r="B14" s="3"/>
      <c r="C14" s="3"/>
      <c r="D14" s="3"/>
      <c r="E14" s="3"/>
      <c r="F14" s="3"/>
      <c r="G14" s="5"/>
      <c r="H14" s="5"/>
      <c r="I14" s="4"/>
      <c r="J14" s="4"/>
      <c r="K14" s="6">
        <f>IF(OR(I14="",J14=""),"",J14-I14)</f>
      </c>
      <c r="L14" s="7">
        <f>IF(I14="","",IF(J14="","",MIN(1,J14/I14)))</f>
      </c>
      <c r="M14" s="8">
        <f>IF(H14="","",H14-TODAY())</f>
      </c>
      <c r="N14" s="3" t="str">
        <f>IF(OR(M14&lt;0,AND(M14&lt;=2,L14&lt;0.8)),"AT RISK","ON TRACK")</f>
      </c>
      <c r="O14" s="3"/>
      <c r="P14" s="3"/>
    </row>
    <row r="15">
      <c r="A15" s="3"/>
      <c r="B15" s="3"/>
      <c r="C15" s="3"/>
      <c r="D15" s="3"/>
      <c r="E15" s="3"/>
      <c r="F15" s="3"/>
      <c r="G15" s="5"/>
      <c r="H15" s="5"/>
      <c r="I15" s="4"/>
      <c r="J15" s="4"/>
      <c r="K15" s="6">
        <f>IF(OR(I15="",J15=""),"",J15-I15)</f>
      </c>
      <c r="L15" s="7">
        <f>IF(I15="","",IF(J15="","",MIN(1,J15/I15)))</f>
      </c>
      <c r="M15" s="8">
        <f>IF(H15="","",H15-TODAY())</f>
      </c>
      <c r="N15" s="3" t="str">
        <f>IF(OR(M15&lt;0,AND(M15&lt;=2,L15&lt;0.8)),"AT RISK","ON TRACK")</f>
      </c>
      <c r="O15" s="3"/>
      <c r="P15" s="3"/>
    </row>
    <row r="16">
      <c r="A16" s="3"/>
      <c r="B16" s="3"/>
      <c r="C16" s="3"/>
      <c r="D16" s="3"/>
      <c r="E16" s="3"/>
      <c r="F16" s="3"/>
      <c r="G16" s="5"/>
      <c r="H16" s="5"/>
      <c r="I16" s="4"/>
      <c r="J16" s="4"/>
      <c r="K16" s="6">
        <f>IF(OR(I16="",J16=""),"",J16-I16)</f>
      </c>
      <c r="L16" s="7">
        <f>IF(I16="","",IF(J16="","",MIN(1,J16/I16)))</f>
      </c>
      <c r="M16" s="8">
        <f>IF(H16="","",H16-TODAY())</f>
      </c>
      <c r="N16" s="3" t="str">
        <f>IF(OR(M16&lt;0,AND(M16&lt;=2,L16&lt;0.8)),"AT RISK","ON TRACK")</f>
      </c>
      <c r="O16" s="3"/>
      <c r="P16" s="3"/>
    </row>
    <row r="17">
      <c r="A17" s="3"/>
      <c r="B17" s="3"/>
      <c r="C17" s="3"/>
      <c r="D17" s="3"/>
      <c r="E17" s="3"/>
      <c r="F17" s="3"/>
      <c r="G17" s="5"/>
      <c r="H17" s="5"/>
      <c r="I17" s="4"/>
      <c r="J17" s="4"/>
      <c r="K17" s="6">
        <f>IF(OR(I17="",J17=""),"",J17-I17)</f>
      </c>
      <c r="L17" s="7">
        <f>IF(I17="","",IF(J17="","",MIN(1,J17/I17)))</f>
      </c>
      <c r="M17" s="8">
        <f>IF(H17="","",H17-TODAY())</f>
      </c>
      <c r="N17" s="3" t="str">
        <f>IF(OR(M17&lt;0,AND(M17&lt;=2,L17&lt;0.8)),"AT RISK","ON TRACK")</f>
      </c>
      <c r="O17" s="3"/>
      <c r="P17" s="3"/>
    </row>
    <row r="18">
      <c r="A18" s="3"/>
      <c r="B18" s="3"/>
      <c r="C18" s="3"/>
      <c r="D18" s="3"/>
      <c r="E18" s="3"/>
      <c r="F18" s="3"/>
      <c r="G18" s="5"/>
      <c r="H18" s="5"/>
      <c r="I18" s="4"/>
      <c r="J18" s="4"/>
      <c r="K18" s="6">
        <f>IF(OR(I18="",J18=""),"",J18-I18)</f>
      </c>
      <c r="L18" s="7">
        <f>IF(I18="","",IF(J18="","",MIN(1,J18/I18)))</f>
      </c>
      <c r="M18" s="8">
        <f>IF(H18="","",H18-TODAY())</f>
      </c>
      <c r="N18" s="3" t="str">
        <f>IF(OR(M18&lt;0,AND(M18&lt;=2,L18&lt;0.8)),"AT RISK","ON TRACK")</f>
      </c>
      <c r="O18" s="3"/>
      <c r="P18" s="3"/>
    </row>
    <row r="19">
      <c r="A19" s="3"/>
      <c r="B19" s="3"/>
      <c r="C19" s="3"/>
      <c r="D19" s="3"/>
      <c r="E19" s="3"/>
      <c r="F19" s="3"/>
      <c r="G19" s="5"/>
      <c r="H19" s="5"/>
      <c r="I19" s="4"/>
      <c r="J19" s="4"/>
      <c r="K19" s="6">
        <f>IF(OR(I19="",J19=""),"",J19-I19)</f>
      </c>
      <c r="L19" s="7">
        <f>IF(I19="","",IF(J19="","",MIN(1,J19/I19)))</f>
      </c>
      <c r="M19" s="8">
        <f>IF(H19="","",H19-TODAY())</f>
      </c>
      <c r="N19" s="3" t="str">
        <f>IF(OR(M19&lt;0,AND(M19&lt;=2,L19&lt;0.8)),"AT RISK","ON TRACK")</f>
      </c>
      <c r="O19" s="3"/>
      <c r="P19" s="3"/>
    </row>
    <row r="20">
      <c r="A20" s="3"/>
      <c r="B20" s="3"/>
      <c r="C20" s="3"/>
      <c r="D20" s="3"/>
      <c r="E20" s="3"/>
      <c r="F20" s="3"/>
      <c r="G20" s="5"/>
      <c r="H20" s="5"/>
      <c r="I20" s="4"/>
      <c r="J20" s="4"/>
      <c r="K20" s="6">
        <f>IF(OR(I20="",J20=""),"",J20-I20)</f>
      </c>
      <c r="L20" s="7">
        <f>IF(I20="","",IF(J20="","",MIN(1,J20/I20)))</f>
      </c>
      <c r="M20" s="8">
        <f>IF(H20="","",H20-TODAY())</f>
      </c>
      <c r="N20" s="3" t="str">
        <f>IF(OR(M20&lt;0,AND(M20&lt;=2,L20&lt;0.8)),"AT RISK","ON TRACK")</f>
      </c>
      <c r="O20" s="3"/>
      <c r="P20" s="3"/>
    </row>
    <row r="21">
      <c r="A21" s="3"/>
      <c r="B21" s="3"/>
      <c r="C21" s="3"/>
      <c r="D21" s="3"/>
      <c r="E21" s="3"/>
      <c r="F21" s="3"/>
      <c r="G21" s="5"/>
      <c r="H21" s="5"/>
      <c r="I21" s="4"/>
      <c r="J21" s="4"/>
      <c r="K21" s="6">
        <f>IF(OR(I21="",J21=""),"",J21-I21)</f>
      </c>
      <c r="L21" s="7">
        <f>IF(I21="","",IF(J21="","",MIN(1,J21/I21)))</f>
      </c>
      <c r="M21" s="8">
        <f>IF(H21="","",H21-TODAY())</f>
      </c>
      <c r="N21" s="3" t="str">
        <f>IF(OR(M21&lt;0,AND(M21&lt;=2,L21&lt;0.8)),"AT RISK","ON TRACK")</f>
      </c>
      <c r="O21" s="3"/>
      <c r="P21" s="3"/>
    </row>
    <row r="22">
      <c r="A22" s="3"/>
      <c r="B22" s="3"/>
      <c r="C22" s="3"/>
      <c r="D22" s="3"/>
      <c r="E22" s="3"/>
      <c r="F22" s="3"/>
      <c r="G22" s="5"/>
      <c r="H22" s="5"/>
      <c r="I22" s="4"/>
      <c r="J22" s="4"/>
      <c r="K22" s="6">
        <f>IF(OR(I22="",J22=""),"",J22-I22)</f>
      </c>
      <c r="L22" s="7">
        <f>IF(I22="","",IF(J22="","",MIN(1,J22/I22)))</f>
      </c>
      <c r="M22" s="8">
        <f>IF(H22="","",H22-TODAY())</f>
      </c>
      <c r="N22" s="3" t="str">
        <f>IF(OR(M22&lt;0,AND(M22&lt;=2,L22&lt;0.8)),"AT RISK","ON TRACK")</f>
      </c>
      <c r="O22" s="3"/>
      <c r="P22" s="3"/>
    </row>
    <row r="23">
      <c r="A23" s="3"/>
      <c r="B23" s="3"/>
      <c r="C23" s="3"/>
      <c r="D23" s="3"/>
      <c r="E23" s="3"/>
      <c r="F23" s="3"/>
      <c r="G23" s="5"/>
      <c r="H23" s="5"/>
      <c r="I23" s="4"/>
      <c r="J23" s="4"/>
      <c r="K23" s="6">
        <f>IF(OR(I23="",J23=""),"",J23-I23)</f>
      </c>
      <c r="L23" s="7">
        <f>IF(I23="","",IF(J23="","",MIN(1,J23/I23)))</f>
      </c>
      <c r="M23" s="8">
        <f>IF(H23="","",H23-TODAY())</f>
      </c>
      <c r="N23" s="3" t="str">
        <f>IF(OR(M23&lt;0,AND(M23&lt;=2,L23&lt;0.8)),"AT RISK","ON TRACK")</f>
      </c>
      <c r="O23" s="3"/>
      <c r="P23" s="3"/>
    </row>
    <row r="24">
      <c r="A24" s="3"/>
      <c r="B24" s="3"/>
      <c r="C24" s="3"/>
      <c r="D24" s="3"/>
      <c r="E24" s="3"/>
      <c r="F24" s="3"/>
      <c r="G24" s="5"/>
      <c r="H24" s="5"/>
      <c r="I24" s="4"/>
      <c r="J24" s="4"/>
      <c r="K24" s="6">
        <f>IF(OR(I24="",J24=""),"",J24-I24)</f>
      </c>
      <c r="L24" s="7">
        <f>IF(I24="","",IF(J24="","",MIN(1,J24/I24)))</f>
      </c>
      <c r="M24" s="8">
        <f>IF(H24="","",H24-TODAY())</f>
      </c>
      <c r="N24" s="3" t="str">
        <f>IF(OR(M24&lt;0,AND(M24&lt;=2,L24&lt;0.8)),"AT RISK","ON TRACK")</f>
      </c>
      <c r="O24" s="3"/>
      <c r="P24" s="3"/>
    </row>
    <row r="25">
      <c r="A25" s="3"/>
      <c r="B25" s="3"/>
      <c r="C25" s="3"/>
      <c r="D25" s="3"/>
      <c r="E25" s="3"/>
      <c r="F25" s="3"/>
      <c r="G25" s="5"/>
      <c r="H25" s="5"/>
      <c r="I25" s="4"/>
      <c r="J25" s="4"/>
      <c r="K25" s="6">
        <f>IF(OR(I25="",J25=""),"",J25-I25)</f>
      </c>
      <c r="L25" s="7">
        <f>IF(I25="","",IF(J25="","",MIN(1,J25/I25)))</f>
      </c>
      <c r="M25" s="8">
        <f>IF(H25="","",H25-TODAY())</f>
      </c>
      <c r="N25" s="3" t="str">
        <f>IF(OR(M25&lt;0,AND(M25&lt;=2,L25&lt;0.8)),"AT RISK","ON TRACK")</f>
      </c>
      <c r="O25" s="3"/>
      <c r="P25" s="3"/>
    </row>
    <row r="26">
      <c r="A26" s="3"/>
      <c r="B26" s="3"/>
      <c r="C26" s="3"/>
      <c r="D26" s="3"/>
      <c r="E26" s="3"/>
      <c r="F26" s="3"/>
      <c r="G26" s="5"/>
      <c r="H26" s="5"/>
      <c r="I26" s="4"/>
      <c r="J26" s="4"/>
      <c r="K26" s="6">
        <f>IF(OR(I26="",J26=""),"",J26-I26)</f>
      </c>
      <c r="L26" s="7">
        <f>IF(I26="","",IF(J26="","",MIN(1,J26/I26)))</f>
      </c>
      <c r="M26" s="8">
        <f>IF(H26="","",H26-TODAY())</f>
      </c>
      <c r="N26" s="3" t="str">
        <f>IF(OR(M26&lt;0,AND(M26&lt;=2,L26&lt;0.8)),"AT RISK","ON TRACK")</f>
      </c>
      <c r="O26" s="3"/>
      <c r="P26" s="3"/>
    </row>
    <row r="27">
      <c r="A27" s="3"/>
      <c r="B27" s="3"/>
      <c r="C27" s="3"/>
      <c r="D27" s="3"/>
      <c r="E27" s="3"/>
      <c r="F27" s="3"/>
      <c r="G27" s="5"/>
      <c r="H27" s="5"/>
      <c r="I27" s="4"/>
      <c r="J27" s="4"/>
      <c r="K27" s="6">
        <f>IF(OR(I27="",J27=""),"",J27-I27)</f>
      </c>
      <c r="L27" s="7">
        <f>IF(I27="","",IF(J27="","",MIN(1,J27/I27)))</f>
      </c>
      <c r="M27" s="8">
        <f>IF(H27="","",H27-TODAY())</f>
      </c>
      <c r="N27" s="3" t="str">
        <f>IF(OR(M27&lt;0,AND(M27&lt;=2,L27&lt;0.8)),"AT RISK","ON TRACK")</f>
      </c>
      <c r="O27" s="3"/>
      <c r="P27" s="3"/>
    </row>
    <row r="28">
      <c r="A28" s="3"/>
      <c r="B28" s="3"/>
      <c r="C28" s="3"/>
      <c r="D28" s="3"/>
      <c r="E28" s="3"/>
      <c r="F28" s="3"/>
      <c r="G28" s="5"/>
      <c r="H28" s="5"/>
      <c r="I28" s="4"/>
      <c r="J28" s="4"/>
      <c r="K28" s="6">
        <f>IF(OR(I28="",J28=""),"",J28-I28)</f>
      </c>
      <c r="L28" s="7">
        <f>IF(I28="","",IF(J28="","",MIN(1,J28/I28)))</f>
      </c>
      <c r="M28" s="8">
        <f>IF(H28="","",H28-TODAY())</f>
      </c>
      <c r="N28" s="3" t="str">
        <f>IF(OR(M28&lt;0,AND(M28&lt;=2,L28&lt;0.8)),"AT RISK","ON TRACK")</f>
      </c>
      <c r="O28" s="3"/>
      <c r="P28" s="3"/>
    </row>
    <row r="29">
      <c r="A29" s="3"/>
      <c r="B29" s="3"/>
      <c r="C29" s="3"/>
      <c r="D29" s="3"/>
      <c r="E29" s="3"/>
      <c r="F29" s="3"/>
      <c r="G29" s="5"/>
      <c r="H29" s="5"/>
      <c r="I29" s="4"/>
      <c r="J29" s="4"/>
      <c r="K29" s="6">
        <f>IF(OR(I29="",J29=""),"",J29-I29)</f>
      </c>
      <c r="L29" s="7">
        <f>IF(I29="","",IF(J29="","",MIN(1,J29/I29)))</f>
      </c>
      <c r="M29" s="8">
        <f>IF(H29="","",H29-TODAY())</f>
      </c>
      <c r="N29" s="3" t="str">
        <f>IF(OR(M29&lt;0,AND(M29&lt;=2,L29&lt;0.8)),"AT RISK","ON TRACK")</f>
      </c>
      <c r="O29" s="3"/>
      <c r="P29" s="3"/>
    </row>
    <row r="30">
      <c r="A30" s="3"/>
      <c r="B30" s="3"/>
      <c r="C30" s="3"/>
      <c r="D30" s="3"/>
      <c r="E30" s="3"/>
      <c r="F30" s="3"/>
      <c r="G30" s="5"/>
      <c r="H30" s="5"/>
      <c r="I30" s="4"/>
      <c r="J30" s="4"/>
      <c r="K30" s="6">
        <f>IF(OR(I30="",J30=""),"",J30-I30)</f>
      </c>
      <c r="L30" s="7">
        <f>IF(I30="","",IF(J30="","",MIN(1,J30/I30)))</f>
      </c>
      <c r="M30" s="8">
        <f>IF(H30="","",H30-TODAY())</f>
      </c>
      <c r="N30" s="3" t="str">
        <f>IF(OR(M30&lt;0,AND(M30&lt;=2,L30&lt;0.8)),"AT RISK","ON TRACK")</f>
      </c>
      <c r="O30" s="3"/>
      <c r="P30" s="3"/>
    </row>
    <row r="31">
      <c r="A31" s="3"/>
      <c r="B31" s="3"/>
      <c r="C31" s="3"/>
      <c r="D31" s="3"/>
      <c r="E31" s="3"/>
      <c r="F31" s="3"/>
      <c r="G31" s="5"/>
      <c r="H31" s="5"/>
      <c r="I31" s="4"/>
      <c r="J31" s="4"/>
      <c r="K31" s="6">
        <f>IF(OR(I31="",J31=""),"",J31-I31)</f>
      </c>
      <c r="L31" s="7">
        <f>IF(I31="","",IF(J31="","",MIN(1,J31/I31)))</f>
      </c>
      <c r="M31" s="8">
        <f>IF(H31="","",H31-TODAY())</f>
      </c>
      <c r="N31" s="3" t="str">
        <f>IF(OR(M31&lt;0,AND(M31&lt;=2,L31&lt;0.8)),"AT RISK","ON TRACK")</f>
      </c>
      <c r="O31" s="3"/>
      <c r="P31" s="3"/>
    </row>
    <row r="32">
      <c r="A32" s="3"/>
      <c r="B32" s="3"/>
      <c r="C32" s="3"/>
      <c r="D32" s="3"/>
      <c r="E32" s="3"/>
      <c r="F32" s="3"/>
      <c r="G32" s="5"/>
      <c r="H32" s="5"/>
      <c r="I32" s="4"/>
      <c r="J32" s="4"/>
      <c r="K32" s="6">
        <f>IF(OR(I32="",J32=""),"",J32-I32)</f>
      </c>
      <c r="L32" s="7">
        <f>IF(I32="","",IF(J32="","",MIN(1,J32/I32)))</f>
      </c>
      <c r="M32" s="8">
        <f>IF(H32="","",H32-TODAY())</f>
      </c>
      <c r="N32" s="3" t="str">
        <f>IF(OR(M32&lt;0,AND(M32&lt;=2,L32&lt;0.8)),"AT RISK","ON TRACK")</f>
      </c>
      <c r="O32" s="3"/>
      <c r="P32" s="3"/>
    </row>
    <row r="33">
      <c r="A33" s="3"/>
      <c r="B33" s="3"/>
      <c r="C33" s="3"/>
      <c r="D33" s="3"/>
      <c r="E33" s="3"/>
      <c r="F33" s="3"/>
      <c r="G33" s="5"/>
      <c r="H33" s="5"/>
      <c r="I33" s="4"/>
      <c r="J33" s="4"/>
      <c r="K33" s="6">
        <f>IF(OR(I33="",J33=""),"",J33-I33)</f>
      </c>
      <c r="L33" s="7">
        <f>IF(I33="","",IF(J33="","",MIN(1,J33/I33)))</f>
      </c>
      <c r="M33" s="8">
        <f>IF(H33="","",H33-TODAY())</f>
      </c>
      <c r="N33" s="3" t="str">
        <f>IF(OR(M33&lt;0,AND(M33&lt;=2,L33&lt;0.8)),"AT RISK","ON TRACK")</f>
      </c>
      <c r="O33" s="3"/>
      <c r="P33" s="3"/>
    </row>
    <row r="34">
      <c r="A34" s="3"/>
      <c r="B34" s="3"/>
      <c r="C34" s="3"/>
      <c r="D34" s="3"/>
      <c r="E34" s="3"/>
      <c r="F34" s="3"/>
      <c r="G34" s="5"/>
      <c r="H34" s="5"/>
      <c r="I34" s="4"/>
      <c r="J34" s="4"/>
      <c r="K34" s="6">
        <f>IF(OR(I34="",J34=""),"",J34-I34)</f>
      </c>
      <c r="L34" s="7">
        <f>IF(I34="","",IF(J34="","",MIN(1,J34/I34)))</f>
      </c>
      <c r="M34" s="8">
        <f>IF(H34="","",H34-TODAY())</f>
      </c>
      <c r="N34" s="3" t="str">
        <f>IF(OR(M34&lt;0,AND(M34&lt;=2,L34&lt;0.8)),"AT RISK","ON TRACK")</f>
      </c>
      <c r="O34" s="3"/>
      <c r="P34" s="3"/>
    </row>
    <row r="35">
      <c r="A35" s="3"/>
      <c r="B35" s="3"/>
      <c r="C35" s="3"/>
      <c r="D35" s="3"/>
      <c r="E35" s="3"/>
      <c r="F35" s="3"/>
      <c r="G35" s="5"/>
      <c r="H35" s="5"/>
      <c r="I35" s="4"/>
      <c r="J35" s="4"/>
      <c r="K35" s="6">
        <f>IF(OR(I35="",J35=""),"",J35-I35)</f>
      </c>
      <c r="L35" s="7">
        <f>IF(I35="","",IF(J35="","",MIN(1,J35/I35)))</f>
      </c>
      <c r="M35" s="8">
        <f>IF(H35="","",H35-TODAY())</f>
      </c>
      <c r="N35" s="3" t="str">
        <f>IF(OR(M35&lt;0,AND(M35&lt;=2,L35&lt;0.8)),"AT RISK","ON TRACK")</f>
      </c>
      <c r="O35" s="3"/>
      <c r="P35" s="3"/>
    </row>
    <row r="36">
      <c r="A36" s="3"/>
      <c r="B36" s="3"/>
      <c r="C36" s="3"/>
      <c r="D36" s="3"/>
      <c r="E36" s="3"/>
      <c r="F36" s="3"/>
      <c r="G36" s="5"/>
      <c r="H36" s="5"/>
      <c r="I36" s="4"/>
      <c r="J36" s="4"/>
      <c r="K36" s="6">
        <f>IF(OR(I36="",J36=""),"",J36-I36)</f>
      </c>
      <c r="L36" s="7">
        <f>IF(I36="","",IF(J36="","",MIN(1,J36/I36)))</f>
      </c>
      <c r="M36" s="8">
        <f>IF(H36="","",H36-TODAY())</f>
      </c>
      <c r="N36" s="3" t="str">
        <f>IF(OR(M36&lt;0,AND(M36&lt;=2,L36&lt;0.8)),"AT RISK","ON TRACK")</f>
      </c>
      <c r="O36" s="3"/>
      <c r="P36" s="3"/>
    </row>
    <row r="37">
      <c r="A37" s="3"/>
      <c r="B37" s="3"/>
      <c r="C37" s="3"/>
      <c r="D37" s="3"/>
      <c r="E37" s="3"/>
      <c r="F37" s="3"/>
      <c r="G37" s="5"/>
      <c r="H37" s="5"/>
      <c r="I37" s="4"/>
      <c r="J37" s="4"/>
      <c r="K37" s="6">
        <f>IF(OR(I37="",J37=""),"",J37-I37)</f>
      </c>
      <c r="L37" s="7">
        <f>IF(I37="","",IF(J37="","",MIN(1,J37/I37)))</f>
      </c>
      <c r="M37" s="8">
        <f>IF(H37="","",H37-TODAY())</f>
      </c>
      <c r="N37" s="3" t="str">
        <f>IF(OR(M37&lt;0,AND(M37&lt;=2,L37&lt;0.8)),"AT RISK","ON TRACK")</f>
      </c>
      <c r="O37" s="3"/>
      <c r="P37" s="3"/>
    </row>
    <row r="38">
      <c r="A38" s="3"/>
      <c r="B38" s="3"/>
      <c r="C38" s="3"/>
      <c r="D38" s="3"/>
      <c r="E38" s="3"/>
      <c r="F38" s="3"/>
      <c r="G38" s="5"/>
      <c r="H38" s="5"/>
      <c r="I38" s="4"/>
      <c r="J38" s="4"/>
      <c r="K38" s="6">
        <f>IF(OR(I38="",J38=""),"",J38-I38)</f>
      </c>
      <c r="L38" s="7">
        <f>IF(I38="","",IF(J38="","",MIN(1,J38/I38)))</f>
      </c>
      <c r="M38" s="8">
        <f>IF(H38="","",H38-TODAY())</f>
      </c>
      <c r="N38" s="3" t="str">
        <f>IF(OR(M38&lt;0,AND(M38&lt;=2,L38&lt;0.8)),"AT RISK","ON TRACK")</f>
      </c>
      <c r="O38" s="3"/>
      <c r="P38" s="3"/>
    </row>
    <row r="39">
      <c r="A39" s="3"/>
      <c r="B39" s="3"/>
      <c r="C39" s="3"/>
      <c r="D39" s="3"/>
      <c r="E39" s="3"/>
      <c r="F39" s="3"/>
      <c r="G39" s="5"/>
      <c r="H39" s="5"/>
      <c r="I39" s="4"/>
      <c r="J39" s="4"/>
      <c r="K39" s="6">
        <f>IF(OR(I39="",J39=""),"",J39-I39)</f>
      </c>
      <c r="L39" s="7">
        <f>IF(I39="","",IF(J39="","",MIN(1,J39/I39)))</f>
      </c>
      <c r="M39" s="8">
        <f>IF(H39="","",H39-TODAY())</f>
      </c>
      <c r="N39" s="3" t="str">
        <f>IF(OR(M39&lt;0,AND(M39&lt;=2,L39&lt;0.8)),"AT RISK","ON TRACK")</f>
      </c>
      <c r="O39" s="3"/>
      <c r="P39" s="3"/>
    </row>
    <row r="40">
      <c r="A40" s="3"/>
      <c r="B40" s="3"/>
      <c r="C40" s="3"/>
      <c r="D40" s="3"/>
      <c r="E40" s="3"/>
      <c r="F40" s="3"/>
      <c r="G40" s="5"/>
      <c r="H40" s="5"/>
      <c r="I40" s="4"/>
      <c r="J40" s="4"/>
      <c r="K40" s="6">
        <f>IF(OR(I40="",J40=""),"",J40-I40)</f>
      </c>
      <c r="L40" s="7">
        <f>IF(I40="","",IF(J40="","",MIN(1,J40/I40)))</f>
      </c>
      <c r="M40" s="8">
        <f>IF(H40="","",H40-TODAY())</f>
      </c>
      <c r="N40" s="3" t="str">
        <f>IF(OR(M40&lt;0,AND(M40&lt;=2,L40&lt;0.8)),"AT RISK","ON TRACK")</f>
      </c>
      <c r="O40" s="3"/>
      <c r="P40" s="3"/>
    </row>
    <row r="41">
      <c r="A41" s="3"/>
      <c r="B41" s="3"/>
      <c r="C41" s="3"/>
      <c r="D41" s="3"/>
      <c r="E41" s="3"/>
      <c r="F41" s="3"/>
      <c r="G41" s="5"/>
      <c r="H41" s="5"/>
      <c r="I41" s="4"/>
      <c r="J41" s="4"/>
      <c r="K41" s="6">
        <f>IF(OR(I41="",J41=""),"",J41-I41)</f>
      </c>
      <c r="L41" s="7">
        <f>IF(I41="","",IF(J41="","",MIN(1,J41/I41)))</f>
      </c>
      <c r="M41" s="8">
        <f>IF(H41="","",H41-TODAY())</f>
      </c>
      <c r="N41" s="3" t="str">
        <f>IF(OR(M41&lt;0,AND(M41&lt;=2,L41&lt;0.8)),"AT RISK","ON TRACK")</f>
      </c>
      <c r="O41" s="3"/>
      <c r="P41" s="3"/>
    </row>
    <row r="42">
      <c r="A42" s="3"/>
      <c r="B42" s="3"/>
      <c r="C42" s="3"/>
      <c r="D42" s="3"/>
      <c r="E42" s="3"/>
      <c r="F42" s="3"/>
      <c r="G42" s="5"/>
      <c r="H42" s="5"/>
      <c r="I42" s="4"/>
      <c r="J42" s="4"/>
      <c r="K42" s="6">
        <f>IF(OR(I42="",J42=""),"",J42-I42)</f>
      </c>
      <c r="L42" s="7">
        <f>IF(I42="","",IF(J42="","",MIN(1,J42/I42)))</f>
      </c>
      <c r="M42" s="8">
        <f>IF(H42="","",H42-TODAY())</f>
      </c>
      <c r="N42" s="3" t="str">
        <f>IF(OR(M42&lt;0,AND(M42&lt;=2,L42&lt;0.8)),"AT RISK","ON TRACK")</f>
      </c>
      <c r="O42" s="3"/>
      <c r="P42" s="3"/>
    </row>
    <row r="43">
      <c r="A43" s="3"/>
      <c r="B43" s="3"/>
      <c r="C43" s="3"/>
      <c r="D43" s="3"/>
      <c r="E43" s="3"/>
      <c r="F43" s="3"/>
      <c r="G43" s="5"/>
      <c r="H43" s="5"/>
      <c r="I43" s="4"/>
      <c r="J43" s="4"/>
      <c r="K43" s="6">
        <f>IF(OR(I43="",J43=""),"",J43-I43)</f>
      </c>
      <c r="L43" s="7">
        <f>IF(I43="","",IF(J43="","",MIN(1,J43/I43)))</f>
      </c>
      <c r="M43" s="8">
        <f>IF(H43="","",H43-TODAY())</f>
      </c>
      <c r="N43" s="3" t="str">
        <f>IF(OR(M43&lt;0,AND(M43&lt;=2,L43&lt;0.8)),"AT RISK","ON TRACK")</f>
      </c>
      <c r="O43" s="3"/>
      <c r="P43" s="3"/>
    </row>
    <row r="44">
      <c r="A44" s="3"/>
      <c r="B44" s="3"/>
      <c r="C44" s="3"/>
      <c r="D44" s="3"/>
      <c r="E44" s="3"/>
      <c r="F44" s="3"/>
      <c r="G44" s="5"/>
      <c r="H44" s="5"/>
      <c r="I44" s="4"/>
      <c r="J44" s="4"/>
      <c r="K44" s="6">
        <f>IF(OR(I44="",J44=""),"",J44-I44)</f>
      </c>
      <c r="L44" s="7">
        <f>IF(I44="","",IF(J44="","",MIN(1,J44/I44)))</f>
      </c>
      <c r="M44" s="8">
        <f>IF(H44="","",H44-TODAY())</f>
      </c>
      <c r="N44" s="3" t="str">
        <f>IF(OR(M44&lt;0,AND(M44&lt;=2,L44&lt;0.8)),"AT RISK","ON TRACK")</f>
      </c>
      <c r="O44" s="3"/>
      <c r="P44" s="3"/>
    </row>
    <row r="45">
      <c r="A45" s="3"/>
      <c r="B45" s="3"/>
      <c r="C45" s="3"/>
      <c r="D45" s="3"/>
      <c r="E45" s="3"/>
      <c r="F45" s="3"/>
      <c r="G45" s="5"/>
      <c r="H45" s="5"/>
      <c r="I45" s="4"/>
      <c r="J45" s="4"/>
      <c r="K45" s="6">
        <f>IF(OR(I45="",J45=""),"",J45-I45)</f>
      </c>
      <c r="L45" s="7">
        <f>IF(I45="","",IF(J45="","",MIN(1,J45/I45)))</f>
      </c>
      <c r="M45" s="8">
        <f>IF(H45="","",H45-TODAY())</f>
      </c>
      <c r="N45" s="3" t="str">
        <f>IF(OR(M45&lt;0,AND(M45&lt;=2,L45&lt;0.8)),"AT RISK","ON TRACK")</f>
      </c>
      <c r="O45" s="3"/>
      <c r="P45" s="3"/>
    </row>
    <row r="46">
      <c r="A46" s="3"/>
      <c r="B46" s="3"/>
      <c r="C46" s="3"/>
      <c r="D46" s="3"/>
      <c r="E46" s="3"/>
      <c r="F46" s="3"/>
      <c r="G46" s="5"/>
      <c r="H46" s="5"/>
      <c r="I46" s="4"/>
      <c r="J46" s="4"/>
      <c r="K46" s="6">
        <f>IF(OR(I46="",J46=""),"",J46-I46)</f>
      </c>
      <c r="L46" s="7">
        <f>IF(I46="","",IF(J46="","",MIN(1,J46/I46)))</f>
      </c>
      <c r="M46" s="8">
        <f>IF(H46="","",H46-TODAY())</f>
      </c>
      <c r="N46" s="3" t="str">
        <f>IF(OR(M46&lt;0,AND(M46&lt;=2,L46&lt;0.8)),"AT RISK","ON TRACK")</f>
      </c>
      <c r="O46" s="3"/>
      <c r="P46" s="3"/>
    </row>
    <row r="47">
      <c r="A47" s="3"/>
      <c r="B47" s="3"/>
      <c r="C47" s="3"/>
      <c r="D47" s="3"/>
      <c r="E47" s="3"/>
      <c r="F47" s="3"/>
      <c r="G47" s="5"/>
      <c r="H47" s="5"/>
      <c r="I47" s="4"/>
      <c r="J47" s="4"/>
      <c r="K47" s="6">
        <f>IF(OR(I47="",J47=""),"",J47-I47)</f>
      </c>
      <c r="L47" s="7">
        <f>IF(I47="","",IF(J47="","",MIN(1,J47/I47)))</f>
      </c>
      <c r="M47" s="8">
        <f>IF(H47="","",H47-TODAY())</f>
      </c>
      <c r="N47" s="3" t="str">
        <f>IF(OR(M47&lt;0,AND(M47&lt;=2,L47&lt;0.8)),"AT RISK","ON TRACK")</f>
      </c>
      <c r="O47" s="3"/>
      <c r="P47" s="3"/>
    </row>
    <row r="48">
      <c r="A48" s="3"/>
      <c r="B48" s="3"/>
      <c r="C48" s="3"/>
      <c r="D48" s="3"/>
      <c r="E48" s="3"/>
      <c r="F48" s="3"/>
      <c r="G48" s="5"/>
      <c r="H48" s="5"/>
      <c r="I48" s="4"/>
      <c r="J48" s="4"/>
      <c r="K48" s="6">
        <f>IF(OR(I48="",J48=""),"",J48-I48)</f>
      </c>
      <c r="L48" s="7">
        <f>IF(I48="","",IF(J48="","",MIN(1,J48/I48)))</f>
      </c>
      <c r="M48" s="8">
        <f>IF(H48="","",H48-TODAY())</f>
      </c>
      <c r="N48" s="3" t="str">
        <f>IF(OR(M48&lt;0,AND(M48&lt;=2,L48&lt;0.8)),"AT RISK","ON TRACK")</f>
      </c>
      <c r="O48" s="3"/>
      <c r="P48" s="3"/>
    </row>
    <row r="49">
      <c r="A49" s="3"/>
      <c r="B49" s="3"/>
      <c r="C49" s="3"/>
      <c r="D49" s="3"/>
      <c r="E49" s="3"/>
      <c r="F49" s="3"/>
      <c r="G49" s="5"/>
      <c r="H49" s="5"/>
      <c r="I49" s="4"/>
      <c r="J49" s="4"/>
      <c r="K49" s="6">
        <f>IF(OR(I49="",J49=""),"",J49-I49)</f>
      </c>
      <c r="L49" s="7">
        <f>IF(I49="","",IF(J49="","",MIN(1,J49/I49)))</f>
      </c>
      <c r="M49" s="8">
        <f>IF(H49="","",H49-TODAY())</f>
      </c>
      <c r="N49" s="3" t="str">
        <f>IF(OR(M49&lt;0,AND(M49&lt;=2,L49&lt;0.8)),"AT RISK","ON TRACK")</f>
      </c>
      <c r="O49" s="3"/>
      <c r="P49" s="3"/>
    </row>
    <row r="50">
      <c r="A50" s="3"/>
      <c r="B50" s="3"/>
      <c r="C50" s="3"/>
      <c r="D50" s="3"/>
      <c r="E50" s="3"/>
      <c r="F50" s="3"/>
      <c r="G50" s="5"/>
      <c r="H50" s="5"/>
      <c r="I50" s="4"/>
      <c r="J50" s="4"/>
      <c r="K50" s="6">
        <f>IF(OR(I50="",J50=""),"",J50-I50)</f>
      </c>
      <c r="L50" s="7">
        <f>IF(I50="","",IF(J50="","",MIN(1,J50/I50)))</f>
      </c>
      <c r="M50" s="8">
        <f>IF(H50="","",H50-TODAY())</f>
      </c>
      <c r="N50" s="3" t="str">
        <f>IF(OR(M50&lt;0,AND(M50&lt;=2,L50&lt;0.8)),"AT RISK","ON TRACK")</f>
      </c>
      <c r="O50" s="3"/>
      <c r="P50" s="3"/>
    </row>
    <row r="51">
      <c r="A51" s="3"/>
      <c r="B51" s="3"/>
      <c r="C51" s="3"/>
      <c r="D51" s="3"/>
      <c r="E51" s="3"/>
      <c r="F51" s="3"/>
      <c r="G51" s="5"/>
      <c r="H51" s="5"/>
      <c r="I51" s="4"/>
      <c r="J51" s="4"/>
      <c r="K51" s="6">
        <f>IF(OR(I51="",J51=""),"",J51-I51)</f>
      </c>
      <c r="L51" s="7">
        <f>IF(I51="","",IF(J51="","",MIN(1,J51/I51)))</f>
      </c>
      <c r="M51" s="8">
        <f>IF(H51="","",H51-TODAY())</f>
      </c>
      <c r="N51" s="3" t="str">
        <f>IF(OR(M51&lt;0,AND(M51&lt;=2,L51&lt;0.8)),"AT RISK","ON TRACK")</f>
      </c>
      <c r="O51" s="3"/>
      <c r="P51" s="3"/>
    </row>
    <row r="52">
      <c r="A52" s="3"/>
      <c r="B52" s="3"/>
      <c r="C52" s="3"/>
      <c r="D52" s="3"/>
      <c r="E52" s="3"/>
      <c r="F52" s="3"/>
      <c r="G52" s="5"/>
      <c r="H52" s="5"/>
      <c r="I52" s="4"/>
      <c r="J52" s="4"/>
      <c r="K52" s="6">
        <f>IF(OR(I52="",J52=""),"",J52-I52)</f>
      </c>
      <c r="L52" s="7">
        <f>IF(I52="","",IF(J52="","",MIN(1,J52/I52)))</f>
      </c>
      <c r="M52" s="8">
        <f>IF(H52="","",H52-TODAY())</f>
      </c>
      <c r="N52" s="3" t="str">
        <f>IF(OR(M52&lt;0,AND(M52&lt;=2,L52&lt;0.8)),"AT RISK","ON TRACK")</f>
      </c>
      <c r="O52" s="3"/>
      <c r="P52" s="3"/>
    </row>
    <row r="53">
      <c r="A53" s="3"/>
      <c r="B53" s="3"/>
      <c r="C53" s="3"/>
      <c r="D53" s="3"/>
      <c r="E53" s="3"/>
      <c r="F53" s="3"/>
      <c r="G53" s="5"/>
      <c r="H53" s="5"/>
      <c r="I53" s="4"/>
      <c r="J53" s="4"/>
      <c r="K53" s="6">
        <f>IF(OR(I53="",J53=""),"",J53-I53)</f>
      </c>
      <c r="L53" s="7">
        <f>IF(I53="","",IF(J53="","",MIN(1,J53/I53)))</f>
      </c>
      <c r="M53" s="8">
        <f>IF(H53="","",H53-TODAY())</f>
      </c>
      <c r="N53" s="3" t="str">
        <f>IF(OR(M53&lt;0,AND(M53&lt;=2,L53&lt;0.8)),"AT RISK","ON TRACK")</f>
      </c>
      <c r="O53" s="3"/>
      <c r="P53" s="3"/>
    </row>
    <row r="54">
      <c r="A54" s="3"/>
      <c r="B54" s="3"/>
      <c r="C54" s="3"/>
      <c r="D54" s="3"/>
      <c r="E54" s="3"/>
      <c r="F54" s="3"/>
      <c r="G54" s="5"/>
      <c r="H54" s="5"/>
      <c r="I54" s="4"/>
      <c r="J54" s="4"/>
      <c r="K54" s="6">
        <f>IF(OR(I54="",J54=""),"",J54-I54)</f>
      </c>
      <c r="L54" s="7">
        <f>IF(I54="","",IF(J54="","",MIN(1,J54/I54)))</f>
      </c>
      <c r="M54" s="8">
        <f>IF(H54="","",H54-TODAY())</f>
      </c>
      <c r="N54" s="3" t="str">
        <f>IF(OR(M54&lt;0,AND(M54&lt;=2,L54&lt;0.8)),"AT RISK","ON TRACK")</f>
      </c>
      <c r="O54" s="3"/>
      <c r="P54" s="3"/>
    </row>
    <row r="55">
      <c r="A55" s="3"/>
      <c r="B55" s="3"/>
      <c r="C55" s="3"/>
      <c r="D55" s="3"/>
      <c r="E55" s="3"/>
      <c r="F55" s="3"/>
      <c r="G55" s="5"/>
      <c r="H55" s="5"/>
      <c r="I55" s="4"/>
      <c r="J55" s="4"/>
      <c r="K55" s="6">
        <f>IF(OR(I55="",J55=""),"",J55-I55)</f>
      </c>
      <c r="L55" s="7">
        <f>IF(I55="","",IF(J55="","",MIN(1,J55/I55)))</f>
      </c>
      <c r="M55" s="8">
        <f>IF(H55="","",H55-TODAY())</f>
      </c>
      <c r="N55" s="3" t="str">
        <f>IF(OR(M55&lt;0,AND(M55&lt;=2,L55&lt;0.8)),"AT RISK","ON TRACK")</f>
      </c>
      <c r="O55" s="3"/>
      <c r="P55" s="3"/>
    </row>
    <row r="56">
      <c r="A56" s="3"/>
      <c r="B56" s="3"/>
      <c r="C56" s="3"/>
      <c r="D56" s="3"/>
      <c r="E56" s="3"/>
      <c r="F56" s="3"/>
      <c r="G56" s="5"/>
      <c r="H56" s="5"/>
      <c r="I56" s="4"/>
      <c r="J56" s="4"/>
      <c r="K56" s="6">
        <f>IF(OR(I56="",J56=""),"",J56-I56)</f>
      </c>
      <c r="L56" s="7">
        <f>IF(I56="","",IF(J56="","",MIN(1,J56/I56)))</f>
      </c>
      <c r="M56" s="8">
        <f>IF(H56="","",H56-TODAY())</f>
      </c>
      <c r="N56" s="3" t="str">
        <f>IF(OR(M56&lt;0,AND(M56&lt;=2,L56&lt;0.8)),"AT RISK","ON TRACK")</f>
      </c>
      <c r="O56" s="3"/>
      <c r="P56" s="3"/>
    </row>
    <row r="57">
      <c r="A57" s="3"/>
      <c r="B57" s="3"/>
      <c r="C57" s="3"/>
      <c r="D57" s="3"/>
      <c r="E57" s="3"/>
      <c r="F57" s="3"/>
      <c r="G57" s="5"/>
      <c r="H57" s="5"/>
      <c r="I57" s="4"/>
      <c r="J57" s="4"/>
      <c r="K57" s="6">
        <f>IF(OR(I57="",J57=""),"",J57-I57)</f>
      </c>
      <c r="L57" s="7">
        <f>IF(I57="","",IF(J57="","",MIN(1,J57/I57)))</f>
      </c>
      <c r="M57" s="8">
        <f>IF(H57="","",H57-TODAY())</f>
      </c>
      <c r="N57" s="3" t="str">
        <f>IF(OR(M57&lt;0,AND(M57&lt;=2,L57&lt;0.8)),"AT RISK","ON TRACK")</f>
      </c>
      <c r="O57" s="3"/>
      <c r="P57" s="3"/>
    </row>
    <row r="58">
      <c r="A58" s="3"/>
      <c r="B58" s="3"/>
      <c r="C58" s="3"/>
      <c r="D58" s="3"/>
      <c r="E58" s="3"/>
      <c r="F58" s="3"/>
      <c r="G58" s="5"/>
      <c r="H58" s="5"/>
      <c r="I58" s="4"/>
      <c r="J58" s="4"/>
      <c r="K58" s="6">
        <f>IF(OR(I58="",J58=""),"",J58-I58)</f>
      </c>
      <c r="L58" s="7">
        <f>IF(I58="","",IF(J58="","",MIN(1,J58/I58)))</f>
      </c>
      <c r="M58" s="8">
        <f>IF(H58="","",H58-TODAY())</f>
      </c>
      <c r="N58" s="3" t="str">
        <f>IF(OR(M58&lt;0,AND(M58&lt;=2,L58&lt;0.8)),"AT RISK","ON TRACK")</f>
      </c>
      <c r="O58" s="3"/>
      <c r="P58" s="3"/>
    </row>
    <row r="59">
      <c r="A59" s="3"/>
      <c r="B59" s="3"/>
      <c r="C59" s="3"/>
      <c r="D59" s="3"/>
      <c r="E59" s="3"/>
      <c r="F59" s="3"/>
      <c r="G59" s="5"/>
      <c r="H59" s="5"/>
      <c r="I59" s="4"/>
      <c r="J59" s="4"/>
      <c r="K59" s="6">
        <f>IF(OR(I59="",J59=""),"",J59-I59)</f>
      </c>
      <c r="L59" s="7">
        <f>IF(I59="","",IF(J59="","",MIN(1,J59/I59)))</f>
      </c>
      <c r="M59" s="8">
        <f>IF(H59="","",H59-TODAY())</f>
      </c>
      <c r="N59" s="3" t="str">
        <f>IF(OR(M59&lt;0,AND(M59&lt;=2,L59&lt;0.8)),"AT RISK","ON TRACK")</f>
      </c>
      <c r="O59" s="3"/>
      <c r="P59" s="3"/>
    </row>
    <row r="60">
      <c r="A60" s="3"/>
      <c r="B60" s="3"/>
      <c r="C60" s="3"/>
      <c r="D60" s="3"/>
      <c r="E60" s="3"/>
      <c r="F60" s="3"/>
      <c r="G60" s="5"/>
      <c r="H60" s="5"/>
      <c r="I60" s="4"/>
      <c r="J60" s="4"/>
      <c r="K60" s="6">
        <f>IF(OR(I60="",J60=""),"",J60-I60)</f>
      </c>
      <c r="L60" s="7">
        <f>IF(I60="","",IF(J60="","",MIN(1,J60/I60)))</f>
      </c>
      <c r="M60" s="8">
        <f>IF(H60="","",H60-TODAY())</f>
      </c>
      <c r="N60" s="3" t="str">
        <f>IF(OR(M60&lt;0,AND(M60&lt;=2,L60&lt;0.8)),"AT RISK","ON TRACK")</f>
      </c>
      <c r="O60" s="3"/>
      <c r="P60" s="3"/>
    </row>
    <row r="61">
      <c r="A61" s="3"/>
      <c r="B61" s="3"/>
      <c r="C61" s="3"/>
      <c r="D61" s="3"/>
      <c r="E61" s="3"/>
      <c r="F61" s="3"/>
      <c r="G61" s="5"/>
      <c r="H61" s="5"/>
      <c r="I61" s="4"/>
      <c r="J61" s="4"/>
      <c r="K61" s="6">
        <f>IF(OR(I61="",J61=""),"",J61-I61)</f>
      </c>
      <c r="L61" s="7">
        <f>IF(I61="","",IF(J61="","",MIN(1,J61/I61)))</f>
      </c>
      <c r="M61" s="8">
        <f>IF(H61="","",H61-TODAY())</f>
      </c>
      <c r="N61" s="3" t="str">
        <f>IF(OR(M61&lt;0,AND(M61&lt;=2,L61&lt;0.8)),"AT RISK","ON TRACK")</f>
      </c>
      <c r="O61" s="3"/>
      <c r="P61" s="3"/>
    </row>
    <row r="62">
      <c r="A62" s="3"/>
      <c r="B62" s="3"/>
      <c r="C62" s="3"/>
      <c r="D62" s="3"/>
      <c r="E62" s="3"/>
      <c r="F62" s="3"/>
      <c r="G62" s="5"/>
      <c r="H62" s="5"/>
      <c r="I62" s="4"/>
      <c r="J62" s="4"/>
      <c r="K62" s="6">
        <f>IF(OR(I62="",J62=""),"",J62-I62)</f>
      </c>
      <c r="L62" s="7">
        <f>IF(I62="","",IF(J62="","",MIN(1,J62/I62)))</f>
      </c>
      <c r="M62" s="8">
        <f>IF(H62="","",H62-TODAY())</f>
      </c>
      <c r="N62" s="3" t="str">
        <f>IF(OR(M62&lt;0,AND(M62&lt;=2,L62&lt;0.8)),"AT RISK","ON TRACK")</f>
      </c>
      <c r="O62" s="3"/>
      <c r="P62" s="3"/>
    </row>
    <row r="63">
      <c r="A63" s="3"/>
      <c r="B63" s="3"/>
      <c r="C63" s="3"/>
      <c r="D63" s="3"/>
      <c r="E63" s="3"/>
      <c r="F63" s="3"/>
      <c r="G63" s="5"/>
      <c r="H63" s="5"/>
      <c r="I63" s="4"/>
      <c r="J63" s="4"/>
      <c r="K63" s="6">
        <f>IF(OR(I63="",J63=""),"",J63-I63)</f>
      </c>
      <c r="L63" s="7">
        <f>IF(I63="","",IF(J63="","",MIN(1,J63/I63)))</f>
      </c>
      <c r="M63" s="8">
        <f>IF(H63="","",H63-TODAY())</f>
      </c>
      <c r="N63" s="3" t="str">
        <f>IF(OR(M63&lt;0,AND(M63&lt;=2,L63&lt;0.8)),"AT RISK","ON TRACK")</f>
      </c>
      <c r="O63" s="3"/>
      <c r="P63" s="3"/>
    </row>
    <row r="64">
      <c r="A64" s="3"/>
      <c r="B64" s="3"/>
      <c r="C64" s="3"/>
      <c r="D64" s="3"/>
      <c r="E64" s="3"/>
      <c r="F64" s="3"/>
      <c r="G64" s="5"/>
      <c r="H64" s="5"/>
      <c r="I64" s="4"/>
      <c r="J64" s="4"/>
      <c r="K64" s="6">
        <f>IF(OR(I64="",J64=""),"",J64-I64)</f>
      </c>
      <c r="L64" s="7">
        <f>IF(I64="","",IF(J64="","",MIN(1,J64/I64)))</f>
      </c>
      <c r="M64" s="8">
        <f>IF(H64="","",H64-TODAY())</f>
      </c>
      <c r="N64" s="3" t="str">
        <f>IF(OR(M64&lt;0,AND(M64&lt;=2,L64&lt;0.8)),"AT RISK","ON TRACK")</f>
      </c>
      <c r="O64" s="3"/>
      <c r="P64" s="3"/>
    </row>
    <row r="65">
      <c r="A65" s="3"/>
      <c r="B65" s="3"/>
      <c r="C65" s="3"/>
      <c r="D65" s="3"/>
      <c r="E65" s="3"/>
      <c r="F65" s="3"/>
      <c r="G65" s="5"/>
      <c r="H65" s="5"/>
      <c r="I65" s="4"/>
      <c r="J65" s="4"/>
      <c r="K65" s="6">
        <f>IF(OR(I65="",J65=""),"",J65-I65)</f>
      </c>
      <c r="L65" s="7">
        <f>IF(I65="","",IF(J65="","",MIN(1,J65/I65)))</f>
      </c>
      <c r="M65" s="8">
        <f>IF(H65="","",H65-TODAY())</f>
      </c>
      <c r="N65" s="3" t="str">
        <f>IF(OR(M65&lt;0,AND(M65&lt;=2,L65&lt;0.8)),"AT RISK","ON TRACK")</f>
      </c>
      <c r="O65" s="3"/>
      <c r="P65" s="3"/>
    </row>
    <row r="66">
      <c r="A66" s="3"/>
      <c r="B66" s="3"/>
      <c r="C66" s="3"/>
      <c r="D66" s="3"/>
      <c r="E66" s="3"/>
      <c r="F66" s="3"/>
      <c r="G66" s="5"/>
      <c r="H66" s="5"/>
      <c r="I66" s="4"/>
      <c r="J66" s="4"/>
      <c r="K66" s="6">
        <f>IF(OR(I66="",J66=""),"",J66-I66)</f>
      </c>
      <c r="L66" s="7">
        <f>IF(I66="","",IF(J66="","",MIN(1,J66/I66)))</f>
      </c>
      <c r="M66" s="8">
        <f>IF(H66="","",H66-TODAY())</f>
      </c>
      <c r="N66" s="3" t="str">
        <f>IF(OR(M66&lt;0,AND(M66&lt;=2,L66&lt;0.8)),"AT RISK","ON TRACK")</f>
      </c>
      <c r="O66" s="3"/>
      <c r="P66" s="3"/>
    </row>
    <row r="67">
      <c r="A67" s="3"/>
      <c r="B67" s="3"/>
      <c r="C67" s="3"/>
      <c r="D67" s="3"/>
      <c r="E67" s="3"/>
      <c r="F67" s="3"/>
      <c r="G67" s="5"/>
      <c r="H67" s="5"/>
      <c r="I67" s="4"/>
      <c r="J67" s="4"/>
      <c r="K67" s="6">
        <f>IF(OR(I67="",J67=""),"",J67-I67)</f>
      </c>
      <c r="L67" s="7">
        <f>IF(I67="","",IF(J67="","",MIN(1,J67/I67)))</f>
      </c>
      <c r="M67" s="8">
        <f>IF(H67="","",H67-TODAY())</f>
      </c>
      <c r="N67" s="3" t="str">
        <f>IF(OR(M67&lt;0,AND(M67&lt;=2,L67&lt;0.8)),"AT RISK","ON TRACK")</f>
      </c>
      <c r="O67" s="3"/>
      <c r="P67" s="3"/>
    </row>
    <row r="68">
      <c r="A68" s="3"/>
      <c r="B68" s="3"/>
      <c r="C68" s="3"/>
      <c r="D68" s="3"/>
      <c r="E68" s="3"/>
      <c r="F68" s="3"/>
      <c r="G68" s="5"/>
      <c r="H68" s="5"/>
      <c r="I68" s="4"/>
      <c r="J68" s="4"/>
      <c r="K68" s="6">
        <f>IF(OR(I68="",J68=""),"",J68-I68)</f>
      </c>
      <c r="L68" s="7">
        <f>IF(I68="","",IF(J68="","",MIN(1,J68/I68)))</f>
      </c>
      <c r="M68" s="8">
        <f>IF(H68="","",H68-TODAY())</f>
      </c>
      <c r="N68" s="3" t="str">
        <f>IF(OR(M68&lt;0,AND(M68&lt;=2,L68&lt;0.8)),"AT RISK","ON TRACK")</f>
      </c>
      <c r="O68" s="3"/>
      <c r="P68" s="3"/>
    </row>
    <row r="69">
      <c r="A69" s="3"/>
      <c r="B69" s="3"/>
      <c r="C69" s="3"/>
      <c r="D69" s="3"/>
      <c r="E69" s="3"/>
      <c r="F69" s="3"/>
      <c r="G69" s="5"/>
      <c r="H69" s="5"/>
      <c r="I69" s="4"/>
      <c r="J69" s="4"/>
      <c r="K69" s="6">
        <f>IF(OR(I69="",J69=""),"",J69-I69)</f>
      </c>
      <c r="L69" s="7">
        <f>IF(I69="","",IF(J69="","",MIN(1,J69/I69)))</f>
      </c>
      <c r="M69" s="8">
        <f>IF(H69="","",H69-TODAY())</f>
      </c>
      <c r="N69" s="3" t="str">
        <f>IF(OR(M69&lt;0,AND(M69&lt;=2,L69&lt;0.8)),"AT RISK","ON TRACK")</f>
      </c>
      <c r="O69" s="3"/>
      <c r="P69" s="3"/>
    </row>
    <row r="70">
      <c r="A70" s="3"/>
      <c r="B70" s="3"/>
      <c r="C70" s="3"/>
      <c r="D70" s="3"/>
      <c r="E70" s="3"/>
      <c r="F70" s="3"/>
      <c r="G70" s="5"/>
      <c r="H70" s="5"/>
      <c r="I70" s="4"/>
      <c r="J70" s="4"/>
      <c r="K70" s="6">
        <f>IF(OR(I70="",J70=""),"",J70-I70)</f>
      </c>
      <c r="L70" s="7">
        <f>IF(I70="","",IF(J70="","",MIN(1,J70/I70)))</f>
      </c>
      <c r="M70" s="8">
        <f>IF(H70="","",H70-TODAY())</f>
      </c>
      <c r="N70" s="3" t="str">
        <f>IF(OR(M70&lt;0,AND(M70&lt;=2,L70&lt;0.8)),"AT RISK","ON TRACK")</f>
      </c>
      <c r="O70" s="3"/>
      <c r="P70" s="3"/>
    </row>
    <row r="71">
      <c r="A71" s="3"/>
      <c r="B71" s="3"/>
      <c r="C71" s="3"/>
      <c r="D71" s="3"/>
      <c r="E71" s="3"/>
      <c r="F71" s="3"/>
      <c r="G71" s="5"/>
      <c r="H71" s="5"/>
      <c r="I71" s="4"/>
      <c r="J71" s="4"/>
      <c r="K71" s="6">
        <f>IF(OR(I71="",J71=""),"",J71-I71)</f>
      </c>
      <c r="L71" s="7">
        <f>IF(I71="","",IF(J71="","",MIN(1,J71/I71)))</f>
      </c>
      <c r="M71" s="8">
        <f>IF(H71="","",H71-TODAY())</f>
      </c>
      <c r="N71" s="3" t="str">
        <f>IF(OR(M71&lt;0,AND(M71&lt;=2,L71&lt;0.8)),"AT RISK","ON TRACK")</f>
      </c>
      <c r="O71" s="3"/>
      <c r="P71" s="3"/>
    </row>
    <row r="72">
      <c r="A72" s="3"/>
      <c r="B72" s="3"/>
      <c r="C72" s="3"/>
      <c r="D72" s="3"/>
      <c r="E72" s="3"/>
      <c r="F72" s="3"/>
      <c r="G72" s="5"/>
      <c r="H72" s="5"/>
      <c r="I72" s="4"/>
      <c r="J72" s="4"/>
      <c r="K72" s="6">
        <f>IF(OR(I72="",J72=""),"",J72-I72)</f>
      </c>
      <c r="L72" s="7">
        <f>IF(I72="","",IF(J72="","",MIN(1,J72/I72)))</f>
      </c>
      <c r="M72" s="8">
        <f>IF(H72="","",H72-TODAY())</f>
      </c>
      <c r="N72" s="3" t="str">
        <f>IF(OR(M72&lt;0,AND(M72&lt;=2,L72&lt;0.8)),"AT RISK","ON TRACK")</f>
      </c>
      <c r="O72" s="3"/>
      <c r="P72" s="3"/>
    </row>
    <row r="73">
      <c r="A73" s="3"/>
      <c r="B73" s="3"/>
      <c r="C73" s="3"/>
      <c r="D73" s="3"/>
      <c r="E73" s="3"/>
      <c r="F73" s="3"/>
      <c r="G73" s="5"/>
      <c r="H73" s="5"/>
      <c r="I73" s="4"/>
      <c r="J73" s="4"/>
      <c r="K73" s="6">
        <f>IF(OR(I73="",J73=""),"",J73-I73)</f>
      </c>
      <c r="L73" s="7">
        <f>IF(I73="","",IF(J73="","",MIN(1,J73/I73)))</f>
      </c>
      <c r="M73" s="8">
        <f>IF(H73="","",H73-TODAY())</f>
      </c>
      <c r="N73" s="3" t="str">
        <f>IF(OR(M73&lt;0,AND(M73&lt;=2,L73&lt;0.8)),"AT RISK","ON TRACK")</f>
      </c>
      <c r="O73" s="3"/>
      <c r="P73" s="3"/>
    </row>
    <row r="74">
      <c r="A74" s="3"/>
      <c r="B74" s="3"/>
      <c r="C74" s="3"/>
      <c r="D74" s="3"/>
      <c r="E74" s="3"/>
      <c r="F74" s="3"/>
      <c r="G74" s="5"/>
      <c r="H74" s="5"/>
      <c r="I74" s="4"/>
      <c r="J74" s="4"/>
      <c r="K74" s="6">
        <f>IF(OR(I74="",J74=""),"",J74-I74)</f>
      </c>
      <c r="L74" s="7">
        <f>IF(I74="","",IF(J74="","",MIN(1,J74/I74)))</f>
      </c>
      <c r="M74" s="8">
        <f>IF(H74="","",H74-TODAY())</f>
      </c>
      <c r="N74" s="3" t="str">
        <f>IF(OR(M74&lt;0,AND(M74&lt;=2,L74&lt;0.8)),"AT RISK","ON TRACK")</f>
      </c>
      <c r="O74" s="3"/>
      <c r="P74" s="3"/>
    </row>
    <row r="75">
      <c r="A75" s="3"/>
      <c r="B75" s="3"/>
      <c r="C75" s="3"/>
      <c r="D75" s="3"/>
      <c r="E75" s="3"/>
      <c r="F75" s="3"/>
      <c r="G75" s="5"/>
      <c r="H75" s="5"/>
      <c r="I75" s="4"/>
      <c r="J75" s="4"/>
      <c r="K75" s="6">
        <f>IF(OR(I75="",J75=""),"",J75-I75)</f>
      </c>
      <c r="L75" s="7">
        <f>IF(I75="","",IF(J75="","",MIN(1,J75/I75)))</f>
      </c>
      <c r="M75" s="8">
        <f>IF(H75="","",H75-TODAY())</f>
      </c>
      <c r="N75" s="3" t="str">
        <f>IF(OR(M75&lt;0,AND(M75&lt;=2,L75&lt;0.8)),"AT RISK","ON TRACK")</f>
      </c>
      <c r="O75" s="3"/>
      <c r="P75" s="3"/>
    </row>
    <row r="76">
      <c r="A76" s="3"/>
      <c r="B76" s="3"/>
      <c r="C76" s="3"/>
      <c r="D76" s="3"/>
      <c r="E76" s="3"/>
      <c r="F76" s="3"/>
      <c r="G76" s="5"/>
      <c r="H76" s="5"/>
      <c r="I76" s="4"/>
      <c r="J76" s="4"/>
      <c r="K76" s="6">
        <f>IF(OR(I76="",J76=""),"",J76-I76)</f>
      </c>
      <c r="L76" s="7">
        <f>IF(I76="","",IF(J76="","",MIN(1,J76/I76)))</f>
      </c>
      <c r="M76" s="8">
        <f>IF(H76="","",H76-TODAY())</f>
      </c>
      <c r="N76" s="3" t="str">
        <f>IF(OR(M76&lt;0,AND(M76&lt;=2,L76&lt;0.8)),"AT RISK","ON TRACK")</f>
      </c>
      <c r="O76" s="3"/>
      <c r="P76" s="3"/>
    </row>
    <row r="77">
      <c r="A77" s="3"/>
      <c r="B77" s="3"/>
      <c r="C77" s="3"/>
      <c r="D77" s="3"/>
      <c r="E77" s="3"/>
      <c r="F77" s="3"/>
      <c r="G77" s="5"/>
      <c r="H77" s="5"/>
      <c r="I77" s="4"/>
      <c r="J77" s="4"/>
      <c r="K77" s="6">
        <f>IF(OR(I77="",J77=""),"",J77-I77)</f>
      </c>
      <c r="L77" s="7">
        <f>IF(I77="","",IF(J77="","",MIN(1,J77/I77)))</f>
      </c>
      <c r="M77" s="8">
        <f>IF(H77="","",H77-TODAY())</f>
      </c>
      <c r="N77" s="3" t="str">
        <f>IF(OR(M77&lt;0,AND(M77&lt;=2,L77&lt;0.8)),"AT RISK","ON TRACK")</f>
      </c>
      <c r="O77" s="3"/>
      <c r="P77" s="3"/>
    </row>
    <row r="78">
      <c r="A78" s="3"/>
      <c r="B78" s="3"/>
      <c r="C78" s="3"/>
      <c r="D78" s="3"/>
      <c r="E78" s="3"/>
      <c r="F78" s="3"/>
      <c r="G78" s="5"/>
      <c r="H78" s="5"/>
      <c r="I78" s="4"/>
      <c r="J78" s="4"/>
      <c r="K78" s="6">
        <f>IF(OR(I78="",J78=""),"",J78-I78)</f>
      </c>
      <c r="L78" s="7">
        <f>IF(I78="","",IF(J78="","",MIN(1,J78/I78)))</f>
      </c>
      <c r="M78" s="8">
        <f>IF(H78="","",H78-TODAY())</f>
      </c>
      <c r="N78" s="3" t="str">
        <f>IF(OR(M78&lt;0,AND(M78&lt;=2,L78&lt;0.8)),"AT RISK","ON TRACK")</f>
      </c>
      <c r="O78" s="3"/>
      <c r="P78" s="3"/>
    </row>
    <row r="79">
      <c r="A79" s="3"/>
      <c r="B79" s="3"/>
      <c r="C79" s="3"/>
      <c r="D79" s="3"/>
      <c r="E79" s="3"/>
      <c r="F79" s="3"/>
      <c r="G79" s="5"/>
      <c r="H79" s="5"/>
      <c r="I79" s="4"/>
      <c r="J79" s="4"/>
      <c r="K79" s="6">
        <f>IF(OR(I79="",J79=""),"",J79-I79)</f>
      </c>
      <c r="L79" s="7">
        <f>IF(I79="","",IF(J79="","",MIN(1,J79/I79)))</f>
      </c>
      <c r="M79" s="8">
        <f>IF(H79="","",H79-TODAY())</f>
      </c>
      <c r="N79" s="3" t="str">
        <f>IF(OR(M79&lt;0,AND(M79&lt;=2,L79&lt;0.8)),"AT RISK","ON TRACK")</f>
      </c>
      <c r="O79" s="3"/>
      <c r="P79" s="3"/>
    </row>
    <row r="80">
      <c r="A80" s="3"/>
      <c r="B80" s="3"/>
      <c r="C80" s="3"/>
      <c r="D80" s="3"/>
      <c r="E80" s="3"/>
      <c r="F80" s="3"/>
      <c r="G80" s="5"/>
      <c r="H80" s="5"/>
      <c r="I80" s="4"/>
      <c r="J80" s="4"/>
      <c r="K80" s="6">
        <f>IF(OR(I80="",J80=""),"",J80-I80)</f>
      </c>
      <c r="L80" s="7">
        <f>IF(I80="","",IF(J80="","",MIN(1,J80/I80)))</f>
      </c>
      <c r="M80" s="8">
        <f>IF(H80="","",H80-TODAY())</f>
      </c>
      <c r="N80" s="3" t="str">
        <f>IF(OR(M80&lt;0,AND(M80&lt;=2,L80&lt;0.8)),"AT RISK","ON TRACK")</f>
      </c>
      <c r="O80" s="3"/>
      <c r="P80" s="3"/>
    </row>
    <row r="81">
      <c r="A81" s="3"/>
      <c r="B81" s="3"/>
      <c r="C81" s="3"/>
      <c r="D81" s="3"/>
      <c r="E81" s="3"/>
      <c r="F81" s="3"/>
      <c r="G81" s="5"/>
      <c r="H81" s="5"/>
      <c r="I81" s="4"/>
      <c r="J81" s="4"/>
      <c r="K81" s="6">
        <f>IF(OR(I81="",J81=""),"",J81-I81)</f>
      </c>
      <c r="L81" s="7">
        <f>IF(I81="","",IF(J81="","",MIN(1,J81/I81)))</f>
      </c>
      <c r="M81" s="8">
        <f>IF(H81="","",H81-TODAY())</f>
      </c>
      <c r="N81" s="3" t="str">
        <f>IF(OR(M81&lt;0,AND(M81&lt;=2,L81&lt;0.8)),"AT RISK","ON TRACK")</f>
      </c>
      <c r="O81" s="3"/>
      <c r="P81" s="3"/>
    </row>
    <row r="82">
      <c r="A82" s="3"/>
      <c r="B82" s="3"/>
      <c r="C82" s="3"/>
      <c r="D82" s="3"/>
      <c r="E82" s="3"/>
      <c r="F82" s="3"/>
      <c r="G82" s="5"/>
      <c r="H82" s="5"/>
      <c r="I82" s="4"/>
      <c r="J82" s="4"/>
      <c r="K82" s="6">
        <f>IF(OR(I82="",J82=""),"",J82-I82)</f>
      </c>
      <c r="L82" s="7">
        <f>IF(I82="","",IF(J82="","",MIN(1,J82/I82)))</f>
      </c>
      <c r="M82" s="8">
        <f>IF(H82="","",H82-TODAY())</f>
      </c>
      <c r="N82" s="3" t="str">
        <f>IF(OR(M82&lt;0,AND(M82&lt;=2,L82&lt;0.8)),"AT RISK","ON TRACK")</f>
      </c>
      <c r="O82" s="3"/>
      <c r="P82" s="3"/>
    </row>
    <row r="83">
      <c r="A83" s="3"/>
      <c r="B83" s="3"/>
      <c r="C83" s="3"/>
      <c r="D83" s="3"/>
      <c r="E83" s="3"/>
      <c r="F83" s="3"/>
      <c r="G83" s="5"/>
      <c r="H83" s="5"/>
      <c r="I83" s="4"/>
      <c r="J83" s="4"/>
      <c r="K83" s="6">
        <f>IF(OR(I83="",J83=""),"",J83-I83)</f>
      </c>
      <c r="L83" s="7">
        <f>IF(I83="","",IF(J83="","",MIN(1,J83/I83)))</f>
      </c>
      <c r="M83" s="8">
        <f>IF(H83="","",H83-TODAY())</f>
      </c>
      <c r="N83" s="3" t="str">
        <f>IF(OR(M83&lt;0,AND(M83&lt;=2,L83&lt;0.8)),"AT RISK","ON TRACK")</f>
      </c>
      <c r="O83" s="3"/>
      <c r="P83" s="3"/>
    </row>
    <row r="84">
      <c r="A84" s="3"/>
      <c r="B84" s="3"/>
      <c r="C84" s="3"/>
      <c r="D84" s="3"/>
      <c r="E84" s="3"/>
      <c r="F84" s="3"/>
      <c r="G84" s="5"/>
      <c r="H84" s="5"/>
      <c r="I84" s="4"/>
      <c r="J84" s="4"/>
      <c r="K84" s="6">
        <f>IF(OR(I84="",J84=""),"",J84-I84)</f>
      </c>
      <c r="L84" s="7">
        <f>IF(I84="","",IF(J84="","",MIN(1,J84/I84)))</f>
      </c>
      <c r="M84" s="8">
        <f>IF(H84="","",H84-TODAY())</f>
      </c>
      <c r="N84" s="3" t="str">
        <f>IF(OR(M84&lt;0,AND(M84&lt;=2,L84&lt;0.8)),"AT RISK","ON TRACK")</f>
      </c>
      <c r="O84" s="3"/>
      <c r="P84" s="3"/>
    </row>
    <row r="85">
      <c r="A85" s="3"/>
      <c r="B85" s="3"/>
      <c r="C85" s="3"/>
      <c r="D85" s="3"/>
      <c r="E85" s="3"/>
      <c r="F85" s="3"/>
      <c r="G85" s="5"/>
      <c r="H85" s="5"/>
      <c r="I85" s="4"/>
      <c r="J85" s="4"/>
      <c r="K85" s="6">
        <f>IF(OR(I85="",J85=""),"",J85-I85)</f>
      </c>
      <c r="L85" s="7">
        <f>IF(I85="","",IF(J85="","",MIN(1,J85/I85)))</f>
      </c>
      <c r="M85" s="8">
        <f>IF(H85="","",H85-TODAY())</f>
      </c>
      <c r="N85" s="3" t="str">
        <f>IF(OR(M85&lt;0,AND(M85&lt;=2,L85&lt;0.8)),"AT RISK","ON TRACK")</f>
      </c>
      <c r="O85" s="3"/>
      <c r="P85" s="3"/>
    </row>
    <row r="86">
      <c r="A86" s="3"/>
      <c r="B86" s="3"/>
      <c r="C86" s="3"/>
      <c r="D86" s="3"/>
      <c r="E86" s="3"/>
      <c r="F86" s="3"/>
      <c r="G86" s="5"/>
      <c r="H86" s="5"/>
      <c r="I86" s="4"/>
      <c r="J86" s="4"/>
      <c r="K86" s="6">
        <f>IF(OR(I86="",J86=""),"",J86-I86)</f>
      </c>
      <c r="L86" s="7">
        <f>IF(I86="","",IF(J86="","",MIN(1,J86/I86)))</f>
      </c>
      <c r="M86" s="8">
        <f>IF(H86="","",H86-TODAY())</f>
      </c>
      <c r="N86" s="3" t="str">
        <f>IF(OR(M86&lt;0,AND(M86&lt;=2,L86&lt;0.8)),"AT RISK","ON TRACK")</f>
      </c>
      <c r="O86" s="3"/>
      <c r="P86" s="3"/>
    </row>
    <row r="87">
      <c r="A87" s="3"/>
      <c r="B87" s="3"/>
      <c r="C87" s="3"/>
      <c r="D87" s="3"/>
      <c r="E87" s="3"/>
      <c r="F87" s="3"/>
      <c r="G87" s="5"/>
      <c r="H87" s="5"/>
      <c r="I87" s="4"/>
      <c r="J87" s="4"/>
      <c r="K87" s="6">
        <f>IF(OR(I87="",J87=""),"",J87-I87)</f>
      </c>
      <c r="L87" s="7">
        <f>IF(I87="","",IF(J87="","",MIN(1,J87/I87)))</f>
      </c>
      <c r="M87" s="8">
        <f>IF(H87="","",H87-TODAY())</f>
      </c>
      <c r="N87" s="3" t="str">
        <f>IF(OR(M87&lt;0,AND(M87&lt;=2,L87&lt;0.8)),"AT RISK","ON TRACK")</f>
      </c>
      <c r="O87" s="3"/>
      <c r="P87" s="3"/>
    </row>
    <row r="88">
      <c r="A88" s="3"/>
      <c r="B88" s="3"/>
      <c r="C88" s="3"/>
      <c r="D88" s="3"/>
      <c r="E88" s="3"/>
      <c r="F88" s="3"/>
      <c r="G88" s="5"/>
      <c r="H88" s="5"/>
      <c r="I88" s="4"/>
      <c r="J88" s="4"/>
      <c r="K88" s="6">
        <f>IF(OR(I88="",J88=""),"",J88-I88)</f>
      </c>
      <c r="L88" s="7">
        <f>IF(I88="","",IF(J88="","",MIN(1,J88/I88)))</f>
      </c>
      <c r="M88" s="8">
        <f>IF(H88="","",H88-TODAY())</f>
      </c>
      <c r="N88" s="3" t="str">
        <f>IF(OR(M88&lt;0,AND(M88&lt;=2,L88&lt;0.8)),"AT RISK","ON TRACK")</f>
      </c>
      <c r="O88" s="3"/>
      <c r="P88" s="3"/>
    </row>
    <row r="89">
      <c r="A89" s="3"/>
      <c r="B89" s="3"/>
      <c r="C89" s="3"/>
      <c r="D89" s="3"/>
      <c r="E89" s="3"/>
      <c r="F89" s="3"/>
      <c r="G89" s="5"/>
      <c r="H89" s="5"/>
      <c r="I89" s="4"/>
      <c r="J89" s="4"/>
      <c r="K89" s="6">
        <f>IF(OR(I89="",J89=""),"",J89-I89)</f>
      </c>
      <c r="L89" s="7">
        <f>IF(I89="","",IF(J89="","",MIN(1,J89/I89)))</f>
      </c>
      <c r="M89" s="8">
        <f>IF(H89="","",H89-TODAY())</f>
      </c>
      <c r="N89" s="3" t="str">
        <f>IF(OR(M89&lt;0,AND(M89&lt;=2,L89&lt;0.8)),"AT RISK","ON TRACK")</f>
      </c>
      <c r="O89" s="3"/>
      <c r="P89" s="3"/>
    </row>
    <row r="90">
      <c r="A90" s="3"/>
      <c r="B90" s="3"/>
      <c r="C90" s="3"/>
      <c r="D90" s="3"/>
      <c r="E90" s="3"/>
      <c r="F90" s="3"/>
      <c r="G90" s="5"/>
      <c r="H90" s="5"/>
      <c r="I90" s="4"/>
      <c r="J90" s="4"/>
      <c r="K90" s="6">
        <f>IF(OR(I90="",J90=""),"",J90-I90)</f>
      </c>
      <c r="L90" s="7">
        <f>IF(I90="","",IF(J90="","",MIN(1,J90/I90)))</f>
      </c>
      <c r="M90" s="8">
        <f>IF(H90="","",H90-TODAY())</f>
      </c>
      <c r="N90" s="3" t="str">
        <f>IF(OR(M90&lt;0,AND(M90&lt;=2,L90&lt;0.8)),"AT RISK","ON TRACK")</f>
      </c>
      <c r="O90" s="3"/>
      <c r="P90" s="3"/>
    </row>
    <row r="91">
      <c r="A91" s="3"/>
      <c r="B91" s="3"/>
      <c r="C91" s="3"/>
      <c r="D91" s="3"/>
      <c r="E91" s="3"/>
      <c r="F91" s="3"/>
      <c r="G91" s="5"/>
      <c r="H91" s="5"/>
      <c r="I91" s="4"/>
      <c r="J91" s="4"/>
      <c r="K91" s="6">
        <f>IF(OR(I91="",J91=""),"",J91-I91)</f>
      </c>
      <c r="L91" s="7">
        <f>IF(I91="","",IF(J91="","",MIN(1,J91/I91)))</f>
      </c>
      <c r="M91" s="8">
        <f>IF(H91="","",H91-TODAY())</f>
      </c>
      <c r="N91" s="3" t="str">
        <f>IF(OR(M91&lt;0,AND(M91&lt;=2,L91&lt;0.8)),"AT RISK","ON TRACK")</f>
      </c>
      <c r="O91" s="3"/>
      <c r="P91" s="3"/>
    </row>
    <row r="92">
      <c r="A92" s="3"/>
      <c r="B92" s="3"/>
      <c r="C92" s="3"/>
      <c r="D92" s="3"/>
      <c r="E92" s="3"/>
      <c r="F92" s="3"/>
      <c r="G92" s="5"/>
      <c r="H92" s="5"/>
      <c r="I92" s="4"/>
      <c r="J92" s="4"/>
      <c r="K92" s="6">
        <f>IF(OR(I92="",J92=""),"",J92-I92)</f>
      </c>
      <c r="L92" s="7">
        <f>IF(I92="","",IF(J92="","",MIN(1,J92/I92)))</f>
      </c>
      <c r="M92" s="8">
        <f>IF(H92="","",H92-TODAY())</f>
      </c>
      <c r="N92" s="3" t="str">
        <f>IF(OR(M92&lt;0,AND(M92&lt;=2,L92&lt;0.8)),"AT RISK","ON TRACK")</f>
      </c>
      <c r="O92" s="3"/>
      <c r="P92" s="3"/>
    </row>
    <row r="93">
      <c r="A93" s="3"/>
      <c r="B93" s="3"/>
      <c r="C93" s="3"/>
      <c r="D93" s="3"/>
      <c r="E93" s="3"/>
      <c r="F93" s="3"/>
      <c r="G93" s="5"/>
      <c r="H93" s="5"/>
      <c r="I93" s="4"/>
      <c r="J93" s="4"/>
      <c r="K93" s="6">
        <f>IF(OR(I93="",J93=""),"",J93-I93)</f>
      </c>
      <c r="L93" s="7">
        <f>IF(I93="","",IF(J93="","",MIN(1,J93/I93)))</f>
      </c>
      <c r="M93" s="8">
        <f>IF(H93="","",H93-TODAY())</f>
      </c>
      <c r="N93" s="3" t="str">
        <f>IF(OR(M93&lt;0,AND(M93&lt;=2,L93&lt;0.8)),"AT RISK","ON TRACK")</f>
      </c>
      <c r="O93" s="3"/>
      <c r="P93" s="3"/>
    </row>
    <row r="94">
      <c r="A94" s="3"/>
      <c r="B94" s="3"/>
      <c r="C94" s="3"/>
      <c r="D94" s="3"/>
      <c r="E94" s="3"/>
      <c r="F94" s="3"/>
      <c r="G94" s="5"/>
      <c r="H94" s="5"/>
      <c r="I94" s="4"/>
      <c r="J94" s="4"/>
      <c r="K94" s="6">
        <f>IF(OR(I94="",J94=""),"",J94-I94)</f>
      </c>
      <c r="L94" s="7">
        <f>IF(I94="","",IF(J94="","",MIN(1,J94/I94)))</f>
      </c>
      <c r="M94" s="8">
        <f>IF(H94="","",H94-TODAY())</f>
      </c>
      <c r="N94" s="3" t="str">
        <f>IF(OR(M94&lt;0,AND(M94&lt;=2,L94&lt;0.8)),"AT RISK","ON TRACK")</f>
      </c>
      <c r="O94" s="3"/>
      <c r="P94" s="3"/>
    </row>
    <row r="95">
      <c r="A95" s="3"/>
      <c r="B95" s="3"/>
      <c r="C95" s="3"/>
      <c r="D95" s="3"/>
      <c r="E95" s="3"/>
      <c r="F95" s="3"/>
      <c r="G95" s="5"/>
      <c r="H95" s="5"/>
      <c r="I95" s="4"/>
      <c r="J95" s="4"/>
      <c r="K95" s="6">
        <f>IF(OR(I95="",J95=""),"",J95-I95)</f>
      </c>
      <c r="L95" s="7">
        <f>IF(I95="","",IF(J95="","",MIN(1,J95/I95)))</f>
      </c>
      <c r="M95" s="8">
        <f>IF(H95="","",H95-TODAY())</f>
      </c>
      <c r="N95" s="3" t="str">
        <f>IF(OR(M95&lt;0,AND(M95&lt;=2,L95&lt;0.8)),"AT RISK","ON TRACK")</f>
      </c>
      <c r="O95" s="3"/>
      <c r="P95" s="3"/>
    </row>
    <row r="96">
      <c r="A96" s="3"/>
      <c r="B96" s="3"/>
      <c r="C96" s="3"/>
      <c r="D96" s="3"/>
      <c r="E96" s="3"/>
      <c r="F96" s="3"/>
      <c r="G96" s="5"/>
      <c r="H96" s="5"/>
      <c r="I96" s="4"/>
      <c r="J96" s="4"/>
      <c r="K96" s="6">
        <f>IF(OR(I96="",J96=""),"",J96-I96)</f>
      </c>
      <c r="L96" s="7">
        <f>IF(I96="","",IF(J96="","",MIN(1,J96/I96)))</f>
      </c>
      <c r="M96" s="8">
        <f>IF(H96="","",H96-TODAY())</f>
      </c>
      <c r="N96" s="3" t="str">
        <f>IF(OR(M96&lt;0,AND(M96&lt;=2,L96&lt;0.8)),"AT RISK","ON TRACK")</f>
      </c>
      <c r="O96" s="3"/>
      <c r="P96" s="3"/>
    </row>
    <row r="97">
      <c r="A97" s="3"/>
      <c r="B97" s="3"/>
      <c r="C97" s="3"/>
      <c r="D97" s="3"/>
      <c r="E97" s="3"/>
      <c r="F97" s="3"/>
      <c r="G97" s="5"/>
      <c r="H97" s="5"/>
      <c r="I97" s="4"/>
      <c r="J97" s="4"/>
      <c r="K97" s="6">
        <f>IF(OR(I97="",J97=""),"",J97-I97)</f>
      </c>
      <c r="L97" s="7">
        <f>IF(I97="","",IF(J97="","",MIN(1,J97/I97)))</f>
      </c>
      <c r="M97" s="8">
        <f>IF(H97="","",H97-TODAY())</f>
      </c>
      <c r="N97" s="3" t="str">
        <f>IF(OR(M97&lt;0,AND(M97&lt;=2,L97&lt;0.8)),"AT RISK","ON TRACK")</f>
      </c>
      <c r="O97" s="3"/>
      <c r="P97" s="3"/>
    </row>
    <row r="98">
      <c r="A98" s="3"/>
      <c r="B98" s="3"/>
      <c r="C98" s="3"/>
      <c r="D98" s="3"/>
      <c r="E98" s="3"/>
      <c r="F98" s="3"/>
      <c r="G98" s="5"/>
      <c r="H98" s="5"/>
      <c r="I98" s="4"/>
      <c r="J98" s="4"/>
      <c r="K98" s="6">
        <f>IF(OR(I98="",J98=""),"",J98-I98)</f>
      </c>
      <c r="L98" s="7">
        <f>IF(I98="","",IF(J98="","",MIN(1,J98/I98)))</f>
      </c>
      <c r="M98" s="8">
        <f>IF(H98="","",H98-TODAY())</f>
      </c>
      <c r="N98" s="3" t="str">
        <f>IF(OR(M98&lt;0,AND(M98&lt;=2,L98&lt;0.8)),"AT RISK","ON TRACK")</f>
      </c>
      <c r="O98" s="3"/>
      <c r="P98" s="3"/>
    </row>
    <row r="99">
      <c r="A99" s="3"/>
      <c r="B99" s="3"/>
      <c r="C99" s="3"/>
      <c r="D99" s="3"/>
      <c r="E99" s="3"/>
      <c r="F99" s="3"/>
      <c r="G99" s="5"/>
      <c r="H99" s="5"/>
      <c r="I99" s="4"/>
      <c r="J99" s="4"/>
      <c r="K99" s="6">
        <f>IF(OR(I99="",J99=""),"",J99-I99)</f>
      </c>
      <c r="L99" s="7">
        <f>IF(I99="","",IF(J99="","",MIN(1,J99/I99)))</f>
      </c>
      <c r="M99" s="8">
        <f>IF(H99="","",H99-TODAY())</f>
      </c>
      <c r="N99" s="3" t="str">
        <f>IF(OR(M99&lt;0,AND(M99&lt;=2,L99&lt;0.8)),"AT RISK","ON TRACK")</f>
      </c>
      <c r="O99" s="3"/>
      <c r="P99" s="3"/>
    </row>
    <row r="100">
      <c r="A100" s="3"/>
      <c r="B100" s="3"/>
      <c r="C100" s="3"/>
      <c r="D100" s="3"/>
      <c r="E100" s="3"/>
      <c r="F100" s="3"/>
      <c r="G100" s="5"/>
      <c r="H100" s="5"/>
      <c r="I100" s="4"/>
      <c r="J100" s="4"/>
      <c r="K100" s="6">
        <f>IF(OR(I100="",J100=""),"",J100-I100)</f>
      </c>
      <c r="L100" s="7">
        <f>IF(I100="","",IF(J100="","",MIN(1,J100/I100)))</f>
      </c>
      <c r="M100" s="8">
        <f>IF(H100="","",H100-TODAY())</f>
      </c>
      <c r="N100" s="3" t="str">
        <f>IF(OR(M100&lt;0,AND(M100&lt;=2,L100&lt;0.8)),"AT RISK","ON TRACK")</f>
      </c>
      <c r="O100" s="3"/>
      <c r="P100" s="3"/>
    </row>
    <row r="101">
      <c r="A101" s="3"/>
      <c r="B101" s="3"/>
      <c r="C101" s="3"/>
      <c r="D101" s="3"/>
      <c r="E101" s="3"/>
      <c r="F101" s="3"/>
      <c r="G101" s="5"/>
      <c r="H101" s="5"/>
      <c r="I101" s="4"/>
      <c r="J101" s="4"/>
      <c r="K101" s="6">
        <f>IF(OR(I101="",J101=""),"",J101-I101)</f>
      </c>
      <c r="L101" s="7">
        <f>IF(I101="","",IF(J101="","",MIN(1,J101/I101)))</f>
      </c>
      <c r="M101" s="8">
        <f>IF(H101="","",H101-TODAY())</f>
      </c>
      <c r="N101" s="3" t="str">
        <f>IF(OR(M101&lt;0,AND(M101&lt;=2,L101&lt;0.8)),"AT RISK","ON TRACK")</f>
      </c>
      <c r="O101" s="3"/>
      <c r="P101" s="3"/>
    </row>
    <row r="102">
      <c r="A102" s="3"/>
      <c r="B102" s="3"/>
      <c r="C102" s="3"/>
      <c r="D102" s="3"/>
      <c r="E102" s="3"/>
      <c r="F102" s="3"/>
      <c r="G102" s="5"/>
      <c r="H102" s="5"/>
      <c r="I102" s="4"/>
      <c r="J102" s="4"/>
      <c r="K102" s="6">
        <f>IF(OR(I102="",J102=""),"",J102-I102)</f>
      </c>
      <c r="L102" s="7">
        <f>IF(I102="","",IF(J102="","",MIN(1,J102/I102)))</f>
      </c>
      <c r="M102" s="8">
        <f>IF(H102="","",H102-TODAY())</f>
      </c>
      <c r="N102" s="3" t="str">
        <f>IF(OR(M102&lt;0,AND(M102&lt;=2,L102&lt;0.8)),"AT RISK","ON TRACK")</f>
      </c>
      <c r="O102" s="3"/>
      <c r="P102" s="3"/>
    </row>
    <row r="103">
      <c r="A103" s="3"/>
      <c r="B103" s="3"/>
      <c r="C103" s="3"/>
      <c r="D103" s="3"/>
      <c r="E103" s="3"/>
      <c r="F103" s="3"/>
      <c r="G103" s="5"/>
      <c r="H103" s="5"/>
      <c r="I103" s="4"/>
      <c r="J103" s="4"/>
      <c r="K103" s="6">
        <f>IF(OR(I103="",J103=""),"",J103-I103)</f>
      </c>
      <c r="L103" s="7">
        <f>IF(I103="","",IF(J103="","",MIN(1,J103/I103)))</f>
      </c>
      <c r="M103" s="8">
        <f>IF(H103="","",H103-TODAY())</f>
      </c>
      <c r="N103" s="3" t="str">
        <f>IF(OR(M103&lt;0,AND(M103&lt;=2,L103&lt;0.8)),"AT RISK","ON TRACK")</f>
      </c>
      <c r="O103" s="3"/>
      <c r="P103" s="3"/>
    </row>
    <row r="104">
      <c r="A104" s="3"/>
      <c r="B104" s="3"/>
      <c r="C104" s="3"/>
      <c r="D104" s="3"/>
      <c r="E104" s="3"/>
      <c r="F104" s="3"/>
      <c r="G104" s="5"/>
      <c r="H104" s="5"/>
      <c r="I104" s="4"/>
      <c r="J104" s="4"/>
      <c r="K104" s="6">
        <f>IF(OR(I104="",J104=""),"",J104-I104)</f>
      </c>
      <c r="L104" s="7">
        <f>IF(I104="","",IF(J104="","",MIN(1,J104/I104)))</f>
      </c>
      <c r="M104" s="8">
        <f>IF(H104="","",H104-TODAY())</f>
      </c>
      <c r="N104" s="3" t="str">
        <f>IF(OR(M104&lt;0,AND(M104&lt;=2,L104&lt;0.8)),"AT RISK","ON TRACK")</f>
      </c>
      <c r="O104" s="3"/>
      <c r="P104" s="3"/>
    </row>
  </sheetData>
  <autoFilter ref="A4:P104"/>
  <mergeCells count="2">
    <mergeCell ref="A1:P1"/>
    <mergeCell ref="A2:P2"/>
  </mergeCells>
  <dataValidations count="2">
    <dataValidation type="list" allowBlank="1" showInputMessage="1" showErrorMessage="1" sqref="E5:E104">
      <formula1>"High,Medium,Low"</formula1>
    </dataValidation>
    <dataValidation type="list" allowBlank="1" showInputMessage="1" showErrorMessage="1" sqref="F5:F104">
      <formula1>"Not Started,In Progress,Blocked,Done"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4" customWidth="1"/>
    <col min="2" max="2" width="56" customWidth="1"/>
  </cols>
  <sheetData>
    <row r="1" ht="24" customHeight="1">
      <c r="A1" t="inlineStr" s="1">
        <is>
          <t>Task Dashboard</t>
        </is>
      </c>
    </row>
    <row r="3" ht="20" customHeight="1">
      <c r="A3" t="inlineStr" s="2">
        <is>
          <t>Metric</t>
        </is>
      </c>
      <c r="B3" t="inlineStr" s="2">
        <is>
          <t>Value</t>
        </is>
      </c>
    </row>
    <row r="4">
      <c r="A4" t="inlineStr" s="10">
        <is>
          <t>Total Tasks</t>
        </is>
      </c>
      <c r="B4" s="11">
        <f>COUNTA(Task_Plan!C5:C104)</f>
      </c>
    </row>
    <row r="5">
      <c r="A5" t="inlineStr" s="10">
        <is>
          <t>Completed Tasks</t>
        </is>
      </c>
      <c r="B5" s="11">
        <f>COUNTIF(Task_Plan!F5:F104,"Done")</f>
      </c>
    </row>
    <row r="6">
      <c r="A6" t="inlineStr" s="10">
        <is>
          <t>Completion Rate</t>
        </is>
      </c>
      <c r="B6" s="12">
        <f>IF(B4=0,0,B5/B4)</f>
      </c>
    </row>
    <row r="7">
      <c r="A7" t="inlineStr" s="10">
        <is>
          <t>At Risk Tasks</t>
        </is>
      </c>
      <c r="B7" s="11">
        <f>COUNTIF(Task_Plan!N5:N104,"AT RISK")</f>
      </c>
    </row>
    <row r="8">
      <c r="A8" t="inlineStr" s="10">
        <is>
          <t>Total Est Hrs</t>
        </is>
      </c>
      <c r="B8" s="11">
        <f>SUM(Task_Plan!I5:I104)</f>
      </c>
    </row>
    <row r="9">
      <c r="A9" t="inlineStr" s="10">
        <is>
          <t>Total Actual Hrs</t>
        </is>
      </c>
      <c r="B9" s="11">
        <f>SUM(Task_Plan!J5:J104)</f>
      </c>
    </row>
    <row r="10">
      <c r="A10" t="inlineStr" s="10">
        <is>
          <t>Variance Hrs</t>
        </is>
      </c>
      <c r="B10" s="11">
        <f>B9-B8</f>
      </c>
    </row>
    <row r="11">
      <c r="A11" t="inlineStr" s="10">
        <is>
          <t>Burn vs Plan</t>
        </is>
      </c>
      <c r="B11" s="12">
        <f>IF(B8=0,0,B9/B8)</f>
      </c>
    </row>
    <row r="13">
      <c r="A13" t="inlineStr" s="10">
        <is>
          <t>Usage Notes</t>
        </is>
      </c>
      <c r="B13" t="inlineStr" s="9">
        <is>
          <t>Add source URLs in Task_Plan column P for imported data.</t>
        </is>
      </c>
    </row>
    <row r="14">
      <c r="A14" t="inlineStr" s="10">
        <is>
          <t>Risk Rule</t>
        </is>
      </c>
      <c r="B14" t="inlineStr" s="9">
        <is>
          <t>AT RISK when overdue OR due in &lt;=2 days and completion &lt;80%.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2026-02-05T00:04:38Z</dcterms:created>
  <dcterms:modified xsi:type="dcterms:W3CDTF">2026-02-05T00:04:38Z</dcterms:modified>
  <dc:title>Transport Ops Task Tracker</dc:title>
</cp:coreProperties>
</file>